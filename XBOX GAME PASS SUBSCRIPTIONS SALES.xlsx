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9860aff08dfc2b/Eng. Mecânica/Cursos extracurriculares/Análise de dados - DIO/Projeto XBOX/"/>
    </mc:Choice>
  </mc:AlternateContent>
  <xr:revisionPtr revIDLastSave="1426" documentId="13_ncr:1_{3C2F8ED6-40B2-4E08-832A-7140AC03FA60}" xr6:coauthVersionLast="47" xr6:coauthVersionMax="47" xr10:uidLastSave="{066D2138-9370-497C-B202-96B675387349}"/>
  <bookViews>
    <workbookView xWindow="-120" yWindow="-120" windowWidth="20730" windowHeight="11160" tabRatio="0" firstSheet="1" activeTab="3" xr2:uid="{28DD5B76-0634-4F87-BE60-8BFA7EF2E23B}"/>
  </bookViews>
  <sheets>
    <sheet name="A̳ssets" sheetId="1" state="hidden" r:id="rId1"/>
    <sheet name="B̳ases" sheetId="2" r:id="rId2"/>
    <sheet name="C̳álculos" sheetId="3" state="hidden" r:id="rId3"/>
    <sheet name="D̳ashboard" sheetId="4" r:id="rId4"/>
  </sheets>
  <definedNames>
    <definedName name="NativeTimeline_Start_Date">#N/A</definedName>
    <definedName name="SegmentaçãodeDados_Plan">#N/A</definedName>
    <definedName name="SegmentaçãodeDados_Subscription_Typ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L4" i="3"/>
  <c r="L3" i="3"/>
</calcChain>
</file>

<file path=xl/sharedStrings.xml><?xml version="1.0" encoding="utf-8"?>
<sst xmlns="http://schemas.openxmlformats.org/spreadsheetml/2006/main" count="2069" uniqueCount="357">
  <si>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</si>
  <si>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</si>
  <si>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</si>
  <si>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</si>
  <si>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</si>
  <si>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</si>
  <si>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</si>
  <si>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</si>
  <si>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</si>
  <si>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</si>
  <si>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</si>
  <si>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</si>
  <si>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</si>
  <si>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</si>
  <si>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</si>
  <si>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</si>
  <si>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</si>
  <si>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</si>
  <si>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</si>
  <si>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</si>
  <si>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</si>
  <si>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</si>
  <si>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</si>
  <si>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</si>
  <si>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</si>
  <si>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</si>
  <si>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</si>
  <si>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</si>
  <si>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</si>
  <si>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</si>
  <si>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</si>
  <si>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</si>
  <si>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</si>
  <si>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</si>
  <si>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</si>
  <si>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</si>
  <si>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</si>
  <si>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</si>
  <si>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</si>
  <si>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</si>
  <si>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</si>
  <si>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</si>
  <si>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</si>
  <si>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</si>
  <si>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</si>
  <si>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</si>
  <si>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</si>
  <si>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</si>
  <si>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</si>
  <si>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</si>
  <si>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</si>
  <si>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</si>
  <si>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</si>
  <si>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</si>
  <si>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</si>
  <si>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</si>
  <si>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</si>
  <si>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</si>
  <si>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</si>
  <si>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</si>
  <si>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</si>
  <si>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</si>
  <si>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</si>
  <si>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</si>
  <si>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</si>
  <si>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</si>
  <si>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</si>
  <si>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</si>
  <si>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</si>
  <si>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</si>
  <si>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</si>
  <si>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</si>
  <si>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</si>
  <si>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</si>
  <si>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</si>
  <si>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</si>
  <si>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</si>
  <si>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</si>
  <si>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</si>
  <si>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</si>
  <si>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</si>
  <si>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</si>
  <si>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</si>
  <si>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</si>
  <si>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</si>
  <si>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</si>
  <si>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</si>
  <si>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</si>
  <si>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</si>
  <si>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</si>
  <si>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</si>
  <si>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</si>
  <si>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</si>
  <si>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</si>
  <si>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</si>
  <si>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</si>
  <si>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</si>
  <si>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</si>
  <si>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</si>
  <si>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</si>
  <si>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</si>
  <si>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</si>
  <si>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</si>
  <si>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</si>
  <si>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</si>
  <si>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</si>
  <si>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</si>
  <si>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</si>
  <si>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</si>
  <si>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</si>
  <si>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</si>
  <si>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</si>
  <si>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</si>
  <si>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</si>
  <si>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</si>
  <si>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</si>
  <si>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</si>
  <si>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</si>
  <si>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</si>
  <si>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</si>
  <si>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</si>
  <si>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</si>
  <si>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</si>
  <si>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</si>
  <si>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</si>
  <si>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</si>
  <si>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</si>
  <si>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</si>
  <si>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</si>
  <si>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</si>
  <si>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</si>
  <si>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</si>
  <si>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</si>
  <si>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</si>
  <si>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</si>
  <si>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</si>
  <si>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</si>
  <si>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</si>
  <si>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</si>
  <si>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</si>
  <si>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</si>
  <si>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</si>
  <si>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</si>
  <si>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</si>
  <si>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</si>
  <si>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</si>
  <si>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</si>
  <si>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</si>
  <si>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</si>
  <si>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</si>
  <si>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</si>
  <si>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</si>
  <si>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</si>
  <si>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</si>
  <si>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</si>
  <si>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</si>
  <si>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</si>
  <si>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</si>
  <si>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</si>
  <si>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</si>
  <si>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</si>
  <si>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</si>
  <si>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</si>
  <si>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</si>
  <si>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</si>
  <si>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</si>
  <si>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</si>
  <si>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</si>
  <si>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</si>
  <si>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</si>
  <si>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</si>
  <si>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</si>
  <si>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</si>
  <si>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</si>
  <si>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</si>
  <si>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</si>
  <si>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</si>
  <si>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</si>
  <si>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</si>
  <si>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</si>
  <si>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</si>
  <si>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</si>
  <si>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</si>
  <si>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</si>
  <si>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</si>
  <si>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</si>
  <si>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</si>
  <si>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</si>
  <si>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</si>
  <si>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</si>
  <si>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</si>
  <si>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</si>
  <si>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</si>
  <si>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</si>
  <si>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</si>
  <si>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</si>
  <si>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</si>
  <si>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</si>
  <si>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</si>
  <si>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</si>
  <si>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</si>
  <si>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</si>
  <si>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</si>
  <si>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</si>
  <si>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</si>
  <si>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</si>
  <si>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</si>
  <si>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</si>
  <si>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</si>
  <si>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</si>
  <si>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</si>
  <si>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</si>
  <si>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</si>
  <si>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</si>
  <si>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</si>
  <si>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</si>
  <si>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</si>
  <si>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</si>
  <si>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</si>
  <si>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</si>
  <si>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</si>
  <si>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</si>
  <si>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</si>
  <si>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</si>
  <si>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</si>
  <si>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</si>
  <si>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</si>
  <si>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</si>
  <si>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</si>
  <si>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</si>
  <si>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</si>
  <si>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</si>
  <si>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</si>
  <si>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</si>
  <si>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</si>
  <si>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</si>
  <si>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</si>
  <si>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</si>
  <si>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</si>
  <si>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</si>
  <si>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</si>
  <si>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</si>
  <si>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</si>
  <si>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</si>
  <si>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</si>
  <si>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</si>
  <si>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</si>
  <si>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</si>
  <si>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</si>
  <si>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</si>
  <si>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</si>
  <si>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</si>
  <si>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</si>
  <si>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</si>
  <si>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</si>
  <si>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</si>
  <si>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</si>
  <si>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</si>
  <si>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</si>
  <si>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</si>
  <si>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</si>
  <si>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</si>
  <si>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</si>
  <si>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</si>
  <si>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</si>
  <si>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</si>
  <si>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</si>
  <si>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</si>
  <si>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</si>
  <si>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</si>
  <si>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</si>
  <si>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</si>
  <si>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</si>
  <si>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</si>
  <si>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</si>
  <si>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</si>
  <si>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</si>
  <si>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</si>
  <si>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</si>
  <si>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</si>
  <si>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</si>
  <si>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</si>
  <si>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</si>
  <si>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</si>
  <si>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</si>
  <si>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</si>
  <si>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</si>
  <si>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</si>
  <si>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</si>
  <si>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</si>
  <si>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</si>
  <si>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</si>
  <si>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</si>
  <si>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</si>
  <si>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</si>
  <si>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</si>
  <si>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</si>
  <si>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</si>
  <si>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</si>
  <si>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</si>
  <si>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</si>
  <si>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</si>
  <si>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</si>
  <si>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</si>
  <si>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</si>
  <si>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</si>
  <si>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</si>
  <si>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</si>
  <si>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</si>
  <si>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</si>
  <si>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</si>
  <si>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</si>
  <si>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</si>
  <si>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</si>
  <si>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Soma de Total Value</t>
  </si>
  <si>
    <t>Total Geral</t>
  </si>
  <si>
    <t>1 e 08</t>
  </si>
  <si>
    <t xml:space="preserve"> - Faturamento por tipo de plano?</t>
  </si>
  <si>
    <t xml:space="preserve"> - Receita total?</t>
  </si>
  <si>
    <t xml:space="preserve"> - Qual Faturamento Total de vendas, separado por auto renovação não é por auto renovação</t>
  </si>
  <si>
    <t xml:space="preserve"> - Total de Vendas de Assinaturas do EA Play</t>
  </si>
  <si>
    <t xml:space="preserve"> - Total de Vendas de Assinaturas do Minecraft Season Pass</t>
  </si>
  <si>
    <t xml:space="preserve"> - Qual o total de vendas em cada mês? E em cada trimestre e semestre?</t>
  </si>
  <si>
    <t xml:space="preserve"> - Total de vendas de assinaturas Sem EA play e sem Minecarft? E com os dois?</t>
  </si>
  <si>
    <t>por renovação</t>
  </si>
  <si>
    <t>ea play</t>
  </si>
  <si>
    <t>mineraft</t>
  </si>
  <si>
    <t>sem Pass e com Pass</t>
  </si>
  <si>
    <t>por data</t>
  </si>
  <si>
    <t>Trim1</t>
  </si>
  <si>
    <t>Trim2</t>
  </si>
  <si>
    <t>Trim3</t>
  </si>
  <si>
    <t>Trim4</t>
  </si>
  <si>
    <t>Contagem de Subscriber ID</t>
  </si>
  <si>
    <t xml:space="preserve"> - Numero total de assinaturas?</t>
  </si>
  <si>
    <t>7 - numero de assinaturas</t>
  </si>
  <si>
    <t xml:space="preserve"> XBOX GAME PASS SUBSCRIPTIONS SALES</t>
  </si>
  <si>
    <t>tipo de inscrição</t>
  </si>
  <si>
    <t xml:space="preserve"> - Faturamento por tipo de inscrição?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</si>
  <si>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</si>
  <si>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</si>
  <si>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</si>
  <si>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</si>
  <si>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</si>
  <si>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</si>
  <si>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</si>
  <si>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</si>
  <si>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</si>
  <si>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tipo de plano</t>
  </si>
  <si>
    <t>out</t>
  </si>
  <si>
    <t>nov</t>
  </si>
  <si>
    <t>dez</t>
  </si>
  <si>
    <t>total tipo de inscirção</t>
  </si>
  <si>
    <t>total tipo de plano</t>
  </si>
  <si>
    <t>total data</t>
  </si>
  <si>
    <t>valor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</si>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</sst>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40"/>
      <color rgb="FF22C55E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 style="thick">
        <color rgb="FF22C55E"/>
      </right>
      <top/>
      <bottom style="thick">
        <color rgb="FF22C55E"/>
      </bottom>
      <diagonal/>
    </border>
    <border>
      <left/>
      <right style="thick">
        <color rgb="FF22C55E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pivotButton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4" borderId="0" xfId="0" applyNumberFormat="1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8" borderId="0" xfId="0" applyFill="1"/>
    <xf numFmtId="0" fontId="4" fillId="8" borderId="2" xfId="0" applyFont="1" applyFill="1" applyBorder="1" applyAlignment="1">
      <alignment vertical="center"/>
    </xf>
    <xf numFmtId="0" fontId="0" fillId="8" borderId="2" xfId="0" applyFill="1" applyBorder="1"/>
    <xf numFmtId="0" fontId="0" fillId="8" borderId="0" xfId="0" applyFill="1" applyAlignment="1">
      <alignment vertical="center"/>
    </xf>
    <xf numFmtId="0" fontId="0" fillId="9" borderId="4" xfId="0" applyFill="1" applyBorder="1"/>
    <xf numFmtId="0" fontId="0" fillId="9" borderId="3" xfId="0" applyFill="1" applyBorder="1"/>
    <xf numFmtId="0" fontId="0" fillId="0" borderId="0" xfId="0" applyAlignment="1">
      <alignment horizontal="left" indent="1"/>
    </xf>
    <xf numFmtId="0" fontId="0" fillId="0" borderId="0" xfId="0" applyNumberFormat="1"/>
    <xf numFmtId="44" fontId="0" fillId="0" borderId="0" xfId="0" applyNumberFormat="1" applyAlignment="1">
      <alignment horizontal="center" vertical="center" wrapText="1"/>
    </xf>
    <xf numFmtId="4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4" fontId="0" fillId="0" borderId="0" xfId="2" applyFont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000000"/>
      <color rgb="FF9BC848"/>
      <color rgb="FF2AE6B1"/>
      <color rgb="FF5BF6A8"/>
      <color rgb="FFE8E6E9"/>
      <color rgb="FFE0E0E0"/>
      <color rgb="FFEDEDED"/>
      <color rgb="FFF7F8FC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dinâmica2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C̳álculos!$G$10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C̳álculos!$F$11:$F$13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C̳álculos!$G$11:$G$13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C-4320-A2C3-E19BC9BC32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52146351"/>
        <c:axId val="2052145391"/>
      </c:barChart>
      <c:catAx>
        <c:axId val="20521463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2145391"/>
        <c:crosses val="autoZero"/>
        <c:auto val="1"/>
        <c:lblAlgn val="ctr"/>
        <c:lblOffset val="100"/>
        <c:noMultiLvlLbl val="0"/>
      </c:catAx>
      <c:valAx>
        <c:axId val="205214539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05214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  <a:alpha val="99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dinâmica6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C̳álculos!$G$17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AE6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F3-4B42-A741-FF1A7A921DDE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F3-4B42-A741-FF1A7A921D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C̳álculos!$F$18:$F$20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C̳álculos!$G$18:$G$20</c:f>
              <c:numCache>
                <c:formatCode>_("R$"* #,##0.00_);_("R$"* \(#,##0.00\);_("R$"* "-"??_);_(@_)</c:formatCode>
                <c:ptCount val="2"/>
                <c:pt idx="0">
                  <c:v>444</c:v>
                </c:pt>
                <c:pt idx="1">
                  <c:v>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F3-4B42-A741-FF1A7A921DD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5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dinâmica8</c:name>
    <c:fmtId val="53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C̳álculos!$D$23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C̳álculos!$C$24:$C$40</c:f>
              <c:multiLvlStrCache>
                <c:ptCount val="12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</c:lvl>
              </c:multiLvlStrCache>
            </c:multiLvlStrRef>
          </c:cat>
          <c:val>
            <c:numRef>
              <c:f>C̳álculos!$D$24:$D$40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4-4DB0-ADDA-730D8DF92A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4111040"/>
        <c:axId val="1164105280"/>
      </c:lineChart>
      <c:catAx>
        <c:axId val="116411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4105280"/>
        <c:crosses val="autoZero"/>
        <c:auto val="1"/>
        <c:lblAlgn val="ctr"/>
        <c:lblOffset val="100"/>
        <c:noMultiLvlLbl val="0"/>
      </c:catAx>
      <c:valAx>
        <c:axId val="1164105280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411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0" tIns="0" rIns="0" bIns="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0" tIns="0" rIns="0" bIns="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626988191332118"/>
                  <c:h val="8.2510936132983381E-2"/>
                </c:manualLayout>
              </c15:layout>
            </c:ext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0" tIns="0" rIns="0" bIns="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626988191332118"/>
                  <c:h val="8.2510936132983381E-2"/>
                </c:manualLayout>
              </c15:layout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0" tIns="0" rIns="0" bIns="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626988191332118"/>
                  <c:h val="8.2510936132983381E-2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26988191332118"/>
                      <c:h val="8.25109361329833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BA6-49F5-BB9F-37DDD08AEC0C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26988191332118"/>
                      <c:h val="8.25109361329833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BA6-49F5-BB9F-37DDD08AEC0C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26988191332118"/>
                      <c:h val="8.25109361329833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BA6-49F5-BB9F-37DDD08AE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0" tIns="0" rIns="0" bIns="0" anchor="ctr" anchorCtr="1">
                <a:no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C̳álculos!$C$11:$C$14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C̳álculos!$D$11:$D$14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C96-9100-0A21A70B82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2820399"/>
        <c:axId val="1362818959"/>
      </c:barChart>
      <c:catAx>
        <c:axId val="1362820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2818959"/>
        <c:crosses val="autoZero"/>
        <c:auto val="1"/>
        <c:lblAlgn val="ctr"/>
        <c:lblOffset val="0"/>
        <c:noMultiLvlLbl val="0"/>
      </c:catAx>
      <c:valAx>
        <c:axId val="13628189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36282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rnd" cmpd="sng" algn="ctr">
      <a:solidFill>
        <a:schemeClr val="bg1">
          <a:lumMod val="75000"/>
          <a:alpha val="99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dinâmica4</c:name>
    <c:fmtId val="3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0" tIns="0" rIns="0" bIns="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0" tIns="0" rIns="0" bIns="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1827257989438373"/>
                  <c:h val="6.8486439195100612E-2"/>
                </c:manualLayout>
              </c15:layout>
            </c:ext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0" tIns="0" rIns="0" bIns="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5647646105198951"/>
                  <c:h val="6.8486439195100612E-2"/>
                </c:manualLayout>
              </c15:layout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0" tIns="0" rIns="0" bIns="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5647646105198951"/>
                  <c:h val="6.8486439195100612E-2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C̳álculos!$G$23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51-4143-9A67-264652088D8E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51-4143-9A67-264652088D8E}"/>
              </c:ext>
            </c:extLst>
          </c:dPt>
          <c:dPt>
            <c:idx val="2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E51-4143-9A67-264652088D8E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27257989438373"/>
                      <c:h val="6.84864391951006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E51-4143-9A67-264652088D8E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647646105198951"/>
                      <c:h val="6.84864391951006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E51-4143-9A67-264652088D8E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647646105198951"/>
                      <c:h val="6.84864391951006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E51-4143-9A67-264652088D8E}"/>
                </c:ext>
              </c:extLst>
            </c:dLbl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0" tIns="0" rIns="0" bIns="0" anchor="ctr" anchorCtr="1">
                <a:no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C̳álculos!$F$24:$F$27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C̳álculos!$G$24:$G$27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51-4143-9A67-264652088D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21041248"/>
        <c:axId val="1221065728"/>
      </c:barChart>
      <c:catAx>
        <c:axId val="122104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1065728"/>
        <c:auto val="1"/>
        <c:lblAlgn val="ctr"/>
        <c:lblOffset val="0"/>
        <c:noMultiLvlLbl val="0"/>
      </c:catAx>
      <c:valAx>
        <c:axId val="122106572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221041248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chart" Target="../charts/chart1.xml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chart" Target="../charts/chart5.xml"/><Relationship Id="rId5" Type="http://schemas.openxmlformats.org/officeDocument/2006/relationships/image" Target="../media/image7.png"/><Relationship Id="rId10" Type="http://schemas.openxmlformats.org/officeDocument/2006/relationships/chart" Target="../charts/chart4.xml"/><Relationship Id="rId4" Type="http://schemas.openxmlformats.org/officeDocument/2006/relationships/chart" Target="../charts/chart2.xml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950118</xdr:colOff>
      <xdr:row>0</xdr:row>
      <xdr:rowOff>166688</xdr:rowOff>
    </xdr:from>
    <xdr:to>
      <xdr:col>0</xdr:col>
      <xdr:colOff>1645443</xdr:colOff>
      <xdr:row>0</xdr:row>
      <xdr:rowOff>862013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6F77B937-ED62-4944-8882-388319C035D3}"/>
            </a:ext>
          </a:extLst>
        </xdr:cNvPr>
        <xdr:cNvSpPr/>
      </xdr:nvSpPr>
      <xdr:spPr>
        <a:xfrm>
          <a:off x="950118" y="166688"/>
          <a:ext cx="695325" cy="695325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550238</xdr:colOff>
      <xdr:row>0</xdr:row>
      <xdr:rowOff>916781</xdr:rowOff>
    </xdr:from>
    <xdr:to>
      <xdr:col>0</xdr:col>
      <xdr:colOff>2128667</xdr:colOff>
      <xdr:row>1</xdr:row>
      <xdr:rowOff>130968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C149F69-3351-4D16-AE80-5357CA1CB841}"/>
            </a:ext>
          </a:extLst>
        </xdr:cNvPr>
        <xdr:cNvSpPr/>
      </xdr:nvSpPr>
      <xdr:spPr>
        <a:xfrm>
          <a:off x="550238" y="916781"/>
          <a:ext cx="1578429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 kern="1200"/>
            <a:t>Bem vindo, Jerold!</a:t>
          </a:r>
        </a:p>
      </xdr:txBody>
    </xdr:sp>
    <xdr:clientData/>
  </xdr:twoCellAnchor>
  <xdr:twoCellAnchor>
    <xdr:from>
      <xdr:col>0</xdr:col>
      <xdr:colOff>35719</xdr:colOff>
      <xdr:row>0</xdr:row>
      <xdr:rowOff>35720</xdr:rowOff>
    </xdr:from>
    <xdr:to>
      <xdr:col>0</xdr:col>
      <xdr:colOff>2619375</xdr:colOff>
      <xdr:row>1</xdr:row>
      <xdr:rowOff>154781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BCAABBC-B61F-DE5F-BBE9-A5B875146825}"/>
            </a:ext>
          </a:extLst>
        </xdr:cNvPr>
        <xdr:cNvSpPr/>
      </xdr:nvSpPr>
      <xdr:spPr>
        <a:xfrm>
          <a:off x="35719" y="35720"/>
          <a:ext cx="2583656" cy="1238249"/>
        </a:xfrm>
        <a:prstGeom prst="rect">
          <a:avLst/>
        </a:prstGeom>
        <a:noFill/>
        <a:ln>
          <a:solidFill>
            <a:schemeClr val="bg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991790</xdr:colOff>
      <xdr:row>0</xdr:row>
      <xdr:rowOff>215979</xdr:rowOff>
    </xdr:from>
    <xdr:to>
      <xdr:col>0</xdr:col>
      <xdr:colOff>1687115</xdr:colOff>
      <xdr:row>0</xdr:row>
      <xdr:rowOff>911304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C73082E-BB3F-D94E-BE67-02EA58229226}"/>
            </a:ext>
          </a:extLst>
        </xdr:cNvPr>
        <xdr:cNvSpPr/>
      </xdr:nvSpPr>
      <xdr:spPr>
        <a:xfrm>
          <a:off x="991790" y="215979"/>
          <a:ext cx="695325" cy="695325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47624</xdr:colOff>
      <xdr:row>0</xdr:row>
      <xdr:rowOff>47626</xdr:rowOff>
    </xdr:from>
    <xdr:to>
      <xdr:col>0</xdr:col>
      <xdr:colOff>2631280</xdr:colOff>
      <xdr:row>1</xdr:row>
      <xdr:rowOff>166687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58B01C10-B7D4-E70D-ECBC-BC84308FE2C1}"/>
            </a:ext>
          </a:extLst>
        </xdr:cNvPr>
        <xdr:cNvSpPr/>
      </xdr:nvSpPr>
      <xdr:spPr>
        <a:xfrm>
          <a:off x="47624" y="47626"/>
          <a:ext cx="2583656" cy="1238249"/>
        </a:xfrm>
        <a:prstGeom prst="rect">
          <a:avLst/>
        </a:prstGeom>
        <a:noFill/>
        <a:ln>
          <a:solidFill>
            <a:schemeClr val="bg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59531</xdr:colOff>
      <xdr:row>0</xdr:row>
      <xdr:rowOff>166688</xdr:rowOff>
    </xdr:from>
    <xdr:to>
      <xdr:col>1</xdr:col>
      <xdr:colOff>734686</xdr:colOff>
      <xdr:row>0</xdr:row>
      <xdr:rowOff>960595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9EF855C-69C9-4BC0-9AE2-426F15CCC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714625" y="166688"/>
          <a:ext cx="675155" cy="793907"/>
        </a:xfrm>
        <a:prstGeom prst="rect">
          <a:avLst/>
        </a:prstGeom>
      </xdr:spPr>
    </xdr:pic>
    <xdr:clientData/>
  </xdr:twoCellAnchor>
  <xdr:twoCellAnchor>
    <xdr:from>
      <xdr:col>1</xdr:col>
      <xdr:colOff>529351</xdr:colOff>
      <xdr:row>27</xdr:row>
      <xdr:rowOff>152379</xdr:rowOff>
    </xdr:from>
    <xdr:to>
      <xdr:col>18</xdr:col>
      <xdr:colOff>184303</xdr:colOff>
      <xdr:row>43</xdr:row>
      <xdr:rowOff>64815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76E8FC8A-2C79-F4D3-2F1E-EA6A2BC61AD4}"/>
            </a:ext>
          </a:extLst>
        </xdr:cNvPr>
        <xdr:cNvGrpSpPr/>
      </xdr:nvGrpSpPr>
      <xdr:grpSpPr>
        <a:xfrm>
          <a:off x="3185768" y="6269546"/>
          <a:ext cx="10111285" cy="2960436"/>
          <a:chOff x="3146309" y="6270791"/>
          <a:chExt cx="9975570" cy="2960436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31531020-C6B9-AA0C-7D4D-4D5339DC3F1D}"/>
              </a:ext>
            </a:extLst>
          </xdr:cNvPr>
          <xdr:cNvGrpSpPr/>
        </xdr:nvGrpSpPr>
        <xdr:grpSpPr>
          <a:xfrm>
            <a:off x="8513879" y="6271409"/>
            <a:ext cx="4608000" cy="2959200"/>
            <a:chOff x="7854535" y="3127461"/>
            <a:chExt cx="6192001" cy="2988424"/>
          </a:xfrm>
        </xdr:grpSpPr>
        <xdr:graphicFrame macro="">
          <xdr:nvGraphicFramePr>
            <xdr:cNvPr id="32" name="Gráfico 3">
              <a:extLst>
                <a:ext uri="{FF2B5EF4-FFF2-40B4-BE49-F238E27FC236}">
                  <a16:creationId xmlns:a16="http://schemas.microsoft.com/office/drawing/2014/main" id="{3A8BF14D-6C99-3000-A9CA-1323B8471CA1}"/>
                </a:ext>
              </a:extLst>
            </xdr:cNvPr>
            <xdr:cNvGraphicFramePr/>
          </xdr:nvGraphicFramePr>
          <xdr:xfrm>
            <a:off x="7854535" y="3372685"/>
            <a:ext cx="619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33" name="Retângulo: Cantos Superiores Arredondados 32">
              <a:extLst>
                <a:ext uri="{FF2B5EF4-FFF2-40B4-BE49-F238E27FC236}">
                  <a16:creationId xmlns:a16="http://schemas.microsoft.com/office/drawing/2014/main" id="{D85AD8FC-CAC6-4A2F-A971-D49094E9C780}"/>
                </a:ext>
              </a:extLst>
            </xdr:cNvPr>
            <xdr:cNvSpPr/>
          </xdr:nvSpPr>
          <xdr:spPr>
            <a:xfrm>
              <a:off x="7854536" y="3127461"/>
              <a:ext cx="6192000" cy="3600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Auto-Renewal Revenue Comparison</a:t>
              </a: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8EC167F8-7E81-BC90-2BBC-702F27DEE6E1}"/>
              </a:ext>
            </a:extLst>
          </xdr:cNvPr>
          <xdr:cNvGrpSpPr/>
        </xdr:nvGrpSpPr>
        <xdr:grpSpPr>
          <a:xfrm>
            <a:off x="3146309" y="6270791"/>
            <a:ext cx="4608000" cy="2960436"/>
            <a:chOff x="3118037" y="6581054"/>
            <a:chExt cx="4601969" cy="2960436"/>
          </a:xfrm>
        </xdr:grpSpPr>
        <xdr:graphicFrame macro="">
          <xdr:nvGraphicFramePr>
            <xdr:cNvPr id="12" name="Gráfico 1">
              <a:extLst>
                <a:ext uri="{FF2B5EF4-FFF2-40B4-BE49-F238E27FC236}">
                  <a16:creationId xmlns:a16="http://schemas.microsoft.com/office/drawing/2014/main" id="{E7A0BBBC-C260-A11A-6DD5-51870CB4DBC6}"/>
                </a:ext>
              </a:extLst>
            </xdr:cNvPr>
            <xdr:cNvGraphicFramePr/>
          </xdr:nvGraphicFramePr>
          <xdr:xfrm>
            <a:off x="3118037" y="6798290"/>
            <a:ext cx="4601969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13" name="Retângulo: Cantos Superiores Arredondados 12">
              <a:extLst>
                <a:ext uri="{FF2B5EF4-FFF2-40B4-BE49-F238E27FC236}">
                  <a16:creationId xmlns:a16="http://schemas.microsoft.com/office/drawing/2014/main" id="{AEA519F4-403E-42D1-9FD0-CD814DDC6AB9}"/>
                </a:ext>
              </a:extLst>
            </xdr:cNvPr>
            <xdr:cNvSpPr/>
          </xdr:nvSpPr>
          <xdr:spPr>
            <a:xfrm>
              <a:off x="3118624" y="6581054"/>
              <a:ext cx="4600796" cy="3600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Revenue With and Without Season Pass</a:t>
              </a:r>
            </a:p>
          </xdr:txBody>
        </xdr:sp>
      </xdr:grpSp>
    </xdr:grpSp>
    <xdr:clientData/>
  </xdr:twoCellAnchor>
  <xdr:twoCellAnchor>
    <xdr:from>
      <xdr:col>1</xdr:col>
      <xdr:colOff>452183</xdr:colOff>
      <xdr:row>3</xdr:row>
      <xdr:rowOff>63962</xdr:rowOff>
    </xdr:from>
    <xdr:to>
      <xdr:col>4</xdr:col>
      <xdr:colOff>391112</xdr:colOff>
      <xdr:row>9</xdr:row>
      <xdr:rowOff>172820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024D021B-027F-E3F5-D6D4-AB5199DC5D6A}"/>
            </a:ext>
          </a:extLst>
        </xdr:cNvPr>
        <xdr:cNvGrpSpPr/>
      </xdr:nvGrpSpPr>
      <xdr:grpSpPr>
        <a:xfrm>
          <a:off x="3108600" y="1482129"/>
          <a:ext cx="1981512" cy="1378858"/>
          <a:chOff x="3086941" y="1465278"/>
          <a:chExt cx="1800000" cy="1374322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8D4D9C13-029E-30B9-CE6C-6F4B84B8B34F}"/>
              </a:ext>
            </a:extLst>
          </xdr:cNvPr>
          <xdr:cNvGrpSpPr/>
        </xdr:nvGrpSpPr>
        <xdr:grpSpPr>
          <a:xfrm>
            <a:off x="3086941" y="1465278"/>
            <a:ext cx="1800000" cy="1374322"/>
            <a:chOff x="4694464" y="2503714"/>
            <a:chExt cx="4672013" cy="1578440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BF84B1E8-79A1-2531-0D6D-FDA009EB9AB5}"/>
                </a:ext>
              </a:extLst>
            </xdr:cNvPr>
            <xdr:cNvSpPr/>
          </xdr:nvSpPr>
          <xdr:spPr>
            <a:xfrm>
              <a:off x="4694464" y="2563503"/>
              <a:ext cx="4672013" cy="1518651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23" name="Retângulo: Cantos Superiores Arredondados 22">
              <a:extLst>
                <a:ext uri="{FF2B5EF4-FFF2-40B4-BE49-F238E27FC236}">
                  <a16:creationId xmlns:a16="http://schemas.microsoft.com/office/drawing/2014/main" id="{B1027795-D352-477D-A55F-D03D43CEEA86}"/>
                </a:ext>
              </a:extLst>
            </xdr:cNvPr>
            <xdr:cNvSpPr/>
          </xdr:nvSpPr>
          <xdr:spPr>
            <a:xfrm>
              <a:off x="4694464" y="2503714"/>
              <a:ext cx="4672013" cy="45439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Revanue</a:t>
              </a:r>
            </a:p>
          </xdr:txBody>
        </xdr:sp>
      </xdr:grpSp>
      <xdr:sp macro="" textlink="C̳álculos!$L$2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642FA3CF-3930-88CE-027D-350F4E6741A3}"/>
              </a:ext>
            </a:extLst>
          </xdr:cNvPr>
          <xdr:cNvSpPr/>
        </xdr:nvSpPr>
        <xdr:spPr>
          <a:xfrm>
            <a:off x="3086941" y="1912009"/>
            <a:ext cx="1800000" cy="832339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D5061EF-BFE2-43B1-A4B4-CAB85D5F51FE}" type="TxLink">
              <a:rPr lang="en-US" sz="2500" b="1" i="0" u="none" strike="noStrike" kern="1200">
                <a:solidFill>
                  <a:srgbClr val="22C55E"/>
                </a:solidFill>
                <a:latin typeface="Aptos Narrow"/>
              </a:rPr>
              <a:t> R$ 7.633,00 </a:t>
            </a:fld>
            <a:endParaRPr lang="pt-BR" sz="2500" b="1" kern="12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8</xdr:col>
      <xdr:colOff>238318</xdr:colOff>
      <xdr:row>3</xdr:row>
      <xdr:rowOff>63523</xdr:rowOff>
    </xdr:from>
    <xdr:to>
      <xdr:col>13</xdr:col>
      <xdr:colOff>108433</xdr:colOff>
      <xdr:row>9</xdr:row>
      <xdr:rowOff>173259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2B89C6CF-72F9-BB92-C4DC-199F4F943521}"/>
            </a:ext>
          </a:extLst>
        </xdr:cNvPr>
        <xdr:cNvGrpSpPr/>
      </xdr:nvGrpSpPr>
      <xdr:grpSpPr>
        <a:xfrm>
          <a:off x="7392651" y="1481690"/>
          <a:ext cx="2759365" cy="1379736"/>
          <a:chOff x="7425355" y="1519268"/>
          <a:chExt cx="2747625" cy="1375200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A8988AF2-7BEC-93FF-1F36-1CE640D18347}"/>
              </a:ext>
            </a:extLst>
          </xdr:cNvPr>
          <xdr:cNvGrpSpPr/>
        </xdr:nvGrpSpPr>
        <xdr:grpSpPr>
          <a:xfrm>
            <a:off x="7425355" y="1519268"/>
            <a:ext cx="2700000" cy="1375200"/>
            <a:chOff x="7334246" y="1519268"/>
            <a:chExt cx="3224893" cy="1375200"/>
          </a:xfrm>
        </xdr:grpSpPr>
        <xdr:sp macro="" textlink="">
          <xdr:nvSpPr>
            <xdr:cNvPr id="37" name="Retângulo: Cantos Arredondados 36">
              <a:extLst>
                <a:ext uri="{FF2B5EF4-FFF2-40B4-BE49-F238E27FC236}">
                  <a16:creationId xmlns:a16="http://schemas.microsoft.com/office/drawing/2014/main" id="{3A5BF0DF-A0C7-C9E0-75BC-ACA8FD6E3AC4}"/>
                </a:ext>
              </a:extLst>
            </xdr:cNvPr>
            <xdr:cNvSpPr/>
          </xdr:nvSpPr>
          <xdr:spPr>
            <a:xfrm>
              <a:off x="7334246" y="1571359"/>
              <a:ext cx="3224893" cy="1323109"/>
            </a:xfrm>
            <a:prstGeom prst="roundRect">
              <a:avLst>
                <a:gd name="adj" fmla="val 4069"/>
              </a:avLst>
            </a:prstGeom>
            <a:noFill/>
            <a:ln>
              <a:solidFill>
                <a:schemeClr val="bg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pt-BR" sz="1100" kern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0" name="Retângulo: Cantos Superiores Arredondados 39">
              <a:extLst>
                <a:ext uri="{FF2B5EF4-FFF2-40B4-BE49-F238E27FC236}">
                  <a16:creationId xmlns:a16="http://schemas.microsoft.com/office/drawing/2014/main" id="{F083B4E7-D187-4AB9-6F54-77C6AA028CBB}"/>
                </a:ext>
              </a:extLst>
            </xdr:cNvPr>
            <xdr:cNvSpPr/>
          </xdr:nvSpPr>
          <xdr:spPr>
            <a:xfrm>
              <a:off x="7334246" y="1519268"/>
              <a:ext cx="3224893" cy="39589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EA Play Season Pass</a:t>
              </a:r>
            </a:p>
          </xdr:txBody>
        </xdr:sp>
      </xdr:grp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2BC6026A-092A-9818-0FFF-F184B51B34A0}"/>
              </a:ext>
            </a:extLst>
          </xdr:cNvPr>
          <xdr:cNvGrpSpPr/>
        </xdr:nvGrpSpPr>
        <xdr:grpSpPr>
          <a:xfrm>
            <a:off x="7459373" y="1918740"/>
            <a:ext cx="2713607" cy="931510"/>
            <a:chOff x="7487400" y="1918740"/>
            <a:chExt cx="2745979" cy="931510"/>
          </a:xfrm>
        </xdr:grpSpPr>
        <xdr:pic>
          <xdr:nvPicPr>
            <xdr:cNvPr id="39" name="Imagem 38">
              <a:extLst>
                <a:ext uri="{FF2B5EF4-FFF2-40B4-BE49-F238E27FC236}">
                  <a16:creationId xmlns:a16="http://schemas.microsoft.com/office/drawing/2014/main" id="{541210C0-1813-69F2-6295-7A6A89B9E6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487400" y="1918740"/>
              <a:ext cx="1068372" cy="931510"/>
            </a:xfrm>
            <a:prstGeom prst="rect">
              <a:avLst/>
            </a:prstGeom>
          </xdr:spPr>
        </xdr:pic>
        <xdr:sp macro="" textlink="C̳álculos!$J$12">
          <xdr:nvSpPr>
            <xdr:cNvPr id="38" name="Retângulo: Cantos Arredondados 37">
              <a:extLst>
                <a:ext uri="{FF2B5EF4-FFF2-40B4-BE49-F238E27FC236}">
                  <a16:creationId xmlns:a16="http://schemas.microsoft.com/office/drawing/2014/main" id="{2B1A4592-88B6-6DA4-00D2-FEC6FAE59731}"/>
                </a:ext>
              </a:extLst>
            </xdr:cNvPr>
            <xdr:cNvSpPr/>
          </xdr:nvSpPr>
          <xdr:spPr>
            <a:xfrm>
              <a:off x="8357787" y="2140477"/>
              <a:ext cx="1875592" cy="488034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DA121975-8263-4A20-89CD-87D1C54CD94D}" type="TxLink">
                <a:rPr lang="en-US" sz="2500" b="1" i="0" u="none" strike="noStrike" kern="1200">
                  <a:solidFill>
                    <a:srgbClr val="22C55E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 R$ 5.388,00 </a:t>
              </a:fld>
              <a:endParaRPr lang="pt-BR" sz="2500" b="1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13</xdr:col>
      <xdr:colOff>263078</xdr:colOff>
      <xdr:row>3</xdr:row>
      <xdr:rowOff>63523</xdr:rowOff>
    </xdr:from>
    <xdr:to>
      <xdr:col>18</xdr:col>
      <xdr:colOff>261471</xdr:colOff>
      <xdr:row>9</xdr:row>
      <xdr:rowOff>173259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A12A469F-A5DC-050D-8F7A-41599BE26286}"/>
            </a:ext>
          </a:extLst>
        </xdr:cNvPr>
        <xdr:cNvGrpSpPr/>
      </xdr:nvGrpSpPr>
      <xdr:grpSpPr>
        <a:xfrm>
          <a:off x="10306661" y="1481690"/>
          <a:ext cx="3067560" cy="1379736"/>
          <a:chOff x="8997043" y="1453953"/>
          <a:chExt cx="3060000" cy="1375200"/>
        </a:xfrm>
      </xdr:grpSpPr>
      <xdr:sp macro="" textlink="">
        <xdr:nvSpPr>
          <xdr:cNvPr id="45" name="Retângulo: Cantos Arredondados 44">
            <a:extLst>
              <a:ext uri="{FF2B5EF4-FFF2-40B4-BE49-F238E27FC236}">
                <a16:creationId xmlns:a16="http://schemas.microsoft.com/office/drawing/2014/main" id="{29272230-6C3D-AC29-636F-58A22104562D}"/>
              </a:ext>
            </a:extLst>
          </xdr:cNvPr>
          <xdr:cNvSpPr/>
        </xdr:nvSpPr>
        <xdr:spPr>
          <a:xfrm>
            <a:off x="8997043" y="1506044"/>
            <a:ext cx="3060000" cy="1323109"/>
          </a:xfrm>
          <a:prstGeom prst="roundRect">
            <a:avLst>
              <a:gd name="adj" fmla="val 4069"/>
            </a:avLst>
          </a:prstGeom>
          <a:noFill/>
          <a:ln>
            <a:solidFill>
              <a:schemeClr val="bg1">
                <a:lumMod val="75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6" name="Retângulo: Cantos Superiores Arredondados 45">
            <a:extLst>
              <a:ext uri="{FF2B5EF4-FFF2-40B4-BE49-F238E27FC236}">
                <a16:creationId xmlns:a16="http://schemas.microsoft.com/office/drawing/2014/main" id="{CD66894A-467E-75AB-B763-28CF378B39F2}"/>
              </a:ext>
            </a:extLst>
          </xdr:cNvPr>
          <xdr:cNvSpPr/>
        </xdr:nvSpPr>
        <xdr:spPr>
          <a:xfrm>
            <a:off x="8997043" y="1453953"/>
            <a:ext cx="3060000" cy="395890"/>
          </a:xfrm>
          <a:prstGeom prst="round2SameRect">
            <a:avLst/>
          </a:prstGeom>
          <a:solidFill>
            <a:srgbClr val="22C55E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 kern="1200">
                <a:latin typeface="Segoe UI" panose="020B0502040204020203" pitchFamily="34" charset="0"/>
                <a:cs typeface="Segoe UI" panose="020B0502040204020203" pitchFamily="34" charset="0"/>
              </a:rPr>
              <a:t>Minecraft Season Pass</a:t>
            </a:r>
          </a:p>
        </xdr:txBody>
      </xdr:sp>
      <xdr:sp macro="" textlink="C̳álculos!$D$19">
        <xdr:nvSpPr>
          <xdr:cNvPr id="48" name="Retângulo: Cantos Arredondados 47">
            <a:extLst>
              <a:ext uri="{FF2B5EF4-FFF2-40B4-BE49-F238E27FC236}">
                <a16:creationId xmlns:a16="http://schemas.microsoft.com/office/drawing/2014/main" id="{9BFC2CC1-6C53-3B70-A3B6-496DC9061A23}"/>
              </a:ext>
            </a:extLst>
          </xdr:cNvPr>
          <xdr:cNvSpPr/>
        </xdr:nvSpPr>
        <xdr:spPr>
          <a:xfrm>
            <a:off x="10169451" y="2075162"/>
            <a:ext cx="1854000" cy="488034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662083A-CFF6-49A2-9CA2-F003F8B89173}" type="TxLink">
              <a:rPr lang="en-US" sz="2500" b="1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R$ 7.189,00 </a:t>
            </a:fld>
            <a:endParaRPr lang="pt-BR" sz="2500" b="1" i="0" u="none" strike="noStrike" kern="1200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grpSp>
        <xdr:nvGrpSpPr>
          <xdr:cNvPr id="52" name="Agrupar 51">
            <a:extLst>
              <a:ext uri="{FF2B5EF4-FFF2-40B4-BE49-F238E27FC236}">
                <a16:creationId xmlns:a16="http://schemas.microsoft.com/office/drawing/2014/main" id="{37844B2B-1461-6998-BBEC-F0BECCCC621B}"/>
              </a:ext>
            </a:extLst>
          </xdr:cNvPr>
          <xdr:cNvGrpSpPr/>
        </xdr:nvGrpSpPr>
        <xdr:grpSpPr>
          <a:xfrm>
            <a:off x="9144000" y="1973037"/>
            <a:ext cx="1115786" cy="721178"/>
            <a:chOff x="9198428" y="2013858"/>
            <a:chExt cx="1115786" cy="721178"/>
          </a:xfrm>
        </xdr:grpSpPr>
        <xdr:pic>
          <xdr:nvPicPr>
            <xdr:cNvPr id="49" name="Imagem 48">
              <a:extLst>
                <a:ext uri="{FF2B5EF4-FFF2-40B4-BE49-F238E27FC236}">
                  <a16:creationId xmlns:a16="http://schemas.microsoft.com/office/drawing/2014/main" id="{3D18D3BF-4FEE-4919-A270-6399CE7ECB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9556313" y="2013858"/>
              <a:ext cx="400017" cy="57552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50" name="Gráfico 49">
              <a:extLst>
                <a:ext uri="{FF2B5EF4-FFF2-40B4-BE49-F238E27FC236}">
                  <a16:creationId xmlns:a16="http://schemas.microsoft.com/office/drawing/2014/main" id="{524AA078-67DA-47ED-893B-5A3EF47A43E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9198428" y="2492200"/>
              <a:ext cx="1115786" cy="242836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4</xdr:col>
      <xdr:colOff>545756</xdr:colOff>
      <xdr:row>3</xdr:row>
      <xdr:rowOff>63962</xdr:rowOff>
    </xdr:from>
    <xdr:to>
      <xdr:col>8</xdr:col>
      <xdr:colOff>83674</xdr:colOff>
      <xdr:row>9</xdr:row>
      <xdr:rowOff>172820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90448754-D835-7304-584F-323451E3889F}"/>
            </a:ext>
          </a:extLst>
        </xdr:cNvPr>
        <xdr:cNvGrpSpPr/>
      </xdr:nvGrpSpPr>
      <xdr:grpSpPr>
        <a:xfrm>
          <a:off x="5244756" y="1482129"/>
          <a:ext cx="1993251" cy="1378858"/>
          <a:chOff x="5374798" y="1475903"/>
          <a:chExt cx="1958389" cy="1386329"/>
        </a:xfrm>
      </xdr:grpSpPr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40D455A5-CA69-9FD6-75D5-C561FCDBA426}"/>
              </a:ext>
            </a:extLst>
          </xdr:cNvPr>
          <xdr:cNvGrpSpPr/>
        </xdr:nvGrpSpPr>
        <xdr:grpSpPr>
          <a:xfrm>
            <a:off x="5374798" y="1475903"/>
            <a:ext cx="1958389" cy="1386329"/>
            <a:chOff x="4694464" y="2503714"/>
            <a:chExt cx="4672013" cy="1578440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42" name="Retângulo: Cantos Arredondados 41">
              <a:extLst>
                <a:ext uri="{FF2B5EF4-FFF2-40B4-BE49-F238E27FC236}">
                  <a16:creationId xmlns:a16="http://schemas.microsoft.com/office/drawing/2014/main" id="{F9461DC8-9DE4-C6B2-D1FD-A4ADB67E02B2}"/>
                </a:ext>
              </a:extLst>
            </xdr:cNvPr>
            <xdr:cNvSpPr/>
          </xdr:nvSpPr>
          <xdr:spPr>
            <a:xfrm>
              <a:off x="4694464" y="2563503"/>
              <a:ext cx="4672013" cy="1518651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44" name="Retângulo: Cantos Superiores Arredondados 43">
              <a:extLst>
                <a:ext uri="{FF2B5EF4-FFF2-40B4-BE49-F238E27FC236}">
                  <a16:creationId xmlns:a16="http://schemas.microsoft.com/office/drawing/2014/main" id="{437CE31D-CC90-E2FB-652F-A4B68B6FAFE9}"/>
                </a:ext>
              </a:extLst>
            </xdr:cNvPr>
            <xdr:cNvSpPr/>
          </xdr:nvSpPr>
          <xdr:spPr>
            <a:xfrm>
              <a:off x="4694464" y="2503714"/>
              <a:ext cx="4672013" cy="45439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Nº Subscriptions</a:t>
              </a:r>
            </a:p>
          </xdr:txBody>
        </xdr:sp>
      </xdr:grpSp>
      <xdr:sp macro="" textlink="C̳álculos!$I$18">
        <xdr:nvSpPr>
          <xdr:cNvPr id="41" name="Retângulo: Cantos Arredondados 40">
            <a:extLst>
              <a:ext uri="{FF2B5EF4-FFF2-40B4-BE49-F238E27FC236}">
                <a16:creationId xmlns:a16="http://schemas.microsoft.com/office/drawing/2014/main" id="{8CCF2038-3202-0413-9890-4A2522D532B7}"/>
              </a:ext>
            </a:extLst>
          </xdr:cNvPr>
          <xdr:cNvSpPr/>
        </xdr:nvSpPr>
        <xdr:spPr>
          <a:xfrm>
            <a:off x="5965009" y="1921934"/>
            <a:ext cx="777967" cy="833941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0D00EFA-264D-4061-8F73-D594B7B9148F}" type="TxLink">
              <a:rPr lang="en-US" sz="2500" b="1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295</a:t>
            </a:fld>
            <a:endParaRPr lang="pt-BR" sz="2500" b="1" kern="12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</xdr:col>
      <xdr:colOff>451936</xdr:colOff>
      <xdr:row>44</xdr:row>
      <xdr:rowOff>95252</xdr:rowOff>
    </xdr:from>
    <xdr:to>
      <xdr:col>18</xdr:col>
      <xdr:colOff>261718</xdr:colOff>
      <xdr:row>59</xdr:row>
      <xdr:rowOff>164169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FDD326B1-10A4-88FB-A5EE-4BACD875E6FB}"/>
            </a:ext>
          </a:extLst>
        </xdr:cNvPr>
        <xdr:cNvGrpSpPr/>
      </xdr:nvGrpSpPr>
      <xdr:grpSpPr>
        <a:xfrm>
          <a:off x="3108353" y="9450919"/>
          <a:ext cx="10266115" cy="2926417"/>
          <a:chOff x="7890859" y="6591300"/>
          <a:chExt cx="6170230" cy="2926417"/>
        </a:xfrm>
      </xdr:grpSpPr>
      <xdr:graphicFrame macro="">
        <xdr:nvGraphicFramePr>
          <xdr:cNvPr id="11" name="Gráfico 1">
            <a:extLst>
              <a:ext uri="{FF2B5EF4-FFF2-40B4-BE49-F238E27FC236}">
                <a16:creationId xmlns:a16="http://schemas.microsoft.com/office/drawing/2014/main" id="{FADD7947-2B67-207A-405D-14AB610A7C6F}"/>
              </a:ext>
            </a:extLst>
          </xdr:cNvPr>
          <xdr:cNvGraphicFramePr/>
        </xdr:nvGraphicFramePr>
        <xdr:xfrm>
          <a:off x="7890859" y="6774517"/>
          <a:ext cx="6170228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47" name="Retângulo: Cantos Superiores Arredondados 46">
            <a:extLst>
              <a:ext uri="{FF2B5EF4-FFF2-40B4-BE49-F238E27FC236}">
                <a16:creationId xmlns:a16="http://schemas.microsoft.com/office/drawing/2014/main" id="{A0E4B21F-D89D-4885-A908-5650AF4F59ED}"/>
              </a:ext>
            </a:extLst>
          </xdr:cNvPr>
          <xdr:cNvSpPr/>
        </xdr:nvSpPr>
        <xdr:spPr>
          <a:xfrm>
            <a:off x="7890861" y="6591300"/>
            <a:ext cx="6170228" cy="360000"/>
          </a:xfrm>
          <a:prstGeom prst="round2SameRect">
            <a:avLst/>
          </a:prstGeom>
          <a:solidFill>
            <a:srgbClr val="22C55E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Revenue Over the Year</a:t>
            </a:r>
          </a:p>
        </xdr:txBody>
      </xdr:sp>
    </xdr:grpSp>
    <xdr:clientData/>
  </xdr:twoCellAnchor>
  <xdr:twoCellAnchor>
    <xdr:from>
      <xdr:col>1</xdr:col>
      <xdr:colOff>529351</xdr:colOff>
      <xdr:row>11</xdr:row>
      <xdr:rowOff>48187</xdr:rowOff>
    </xdr:from>
    <xdr:to>
      <xdr:col>18</xdr:col>
      <xdr:colOff>184303</xdr:colOff>
      <xdr:row>26</xdr:row>
      <xdr:rowOff>175087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D4FAB882-20A0-0E10-3AA4-62EB146C0A67}"/>
            </a:ext>
          </a:extLst>
        </xdr:cNvPr>
        <xdr:cNvGrpSpPr/>
      </xdr:nvGrpSpPr>
      <xdr:grpSpPr>
        <a:xfrm>
          <a:off x="3185768" y="3117354"/>
          <a:ext cx="10111285" cy="2984400"/>
          <a:chOff x="3146309" y="3118599"/>
          <a:chExt cx="9975570" cy="2984400"/>
        </a:xfrm>
      </xdr:grpSpPr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9245CD2A-87FF-C4A3-DDAD-BE6937847F63}"/>
              </a:ext>
            </a:extLst>
          </xdr:cNvPr>
          <xdr:cNvGrpSpPr/>
        </xdr:nvGrpSpPr>
        <xdr:grpSpPr>
          <a:xfrm>
            <a:off x="3146309" y="3118603"/>
            <a:ext cx="4608000" cy="2984393"/>
            <a:chOff x="3047736" y="3120039"/>
            <a:chExt cx="4660827" cy="2984393"/>
          </a:xfrm>
        </xdr:grpSpPr>
        <xdr:graphicFrame macro="">
          <xdr:nvGraphicFramePr>
            <xdr:cNvPr id="8" name="Gráfico 1">
              <a:extLst>
                <a:ext uri="{FF2B5EF4-FFF2-40B4-BE49-F238E27FC236}">
                  <a16:creationId xmlns:a16="http://schemas.microsoft.com/office/drawing/2014/main" id="{FDD5A9CA-6F27-91AC-B0CB-C33B8A69E63B}"/>
                </a:ext>
              </a:extLst>
            </xdr:cNvPr>
            <xdr:cNvGraphicFramePr/>
          </xdr:nvGraphicFramePr>
          <xdr:xfrm>
            <a:off x="3047736" y="3361232"/>
            <a:ext cx="466082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">
          <xdr:nvSpPr>
            <xdr:cNvPr id="30" name="Retângulo: Cantos Superiores Arredondados 29">
              <a:extLst>
                <a:ext uri="{FF2B5EF4-FFF2-40B4-BE49-F238E27FC236}">
                  <a16:creationId xmlns:a16="http://schemas.microsoft.com/office/drawing/2014/main" id="{6B545EB6-A913-CA4C-F9E6-F09C59769650}"/>
                </a:ext>
              </a:extLst>
            </xdr:cNvPr>
            <xdr:cNvSpPr/>
          </xdr:nvSpPr>
          <xdr:spPr>
            <a:xfrm>
              <a:off x="3047736" y="3120039"/>
              <a:ext cx="4660827" cy="3600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Subscriptions Type</a:t>
              </a: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E5FC6130-98B8-C4AA-DD56-4DB87249584B}"/>
              </a:ext>
            </a:extLst>
          </xdr:cNvPr>
          <xdr:cNvGrpSpPr/>
        </xdr:nvGrpSpPr>
        <xdr:grpSpPr>
          <a:xfrm>
            <a:off x="8513879" y="3118599"/>
            <a:ext cx="4608000" cy="2984400"/>
            <a:chOff x="8389232" y="3121962"/>
            <a:chExt cx="3096000" cy="2995330"/>
          </a:xfrm>
        </xdr:grpSpPr>
        <xdr:graphicFrame macro="">
          <xdr:nvGraphicFramePr>
            <xdr:cNvPr id="16" name="Gráfico 4">
              <a:extLst>
                <a:ext uri="{FF2B5EF4-FFF2-40B4-BE49-F238E27FC236}">
                  <a16:creationId xmlns:a16="http://schemas.microsoft.com/office/drawing/2014/main" id="{93C493CF-57E7-E0AB-7166-B3CDA7DF2140}"/>
                </a:ext>
              </a:extLst>
            </xdr:cNvPr>
            <xdr:cNvGraphicFramePr/>
          </xdr:nvGraphicFramePr>
          <xdr:xfrm>
            <a:off x="8389232" y="3374092"/>
            <a:ext cx="3096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2981CF5A-1E34-4DFF-AC5B-382F1FBD4B66}"/>
                </a:ext>
              </a:extLst>
            </xdr:cNvPr>
            <xdr:cNvSpPr/>
          </xdr:nvSpPr>
          <xdr:spPr>
            <a:xfrm>
              <a:off x="8389232" y="3121962"/>
              <a:ext cx="3096000" cy="3600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Plan Type</a:t>
              </a:r>
            </a:p>
          </xdr:txBody>
        </xdr:sp>
      </xdr:grpSp>
    </xdr:grpSp>
    <xdr:clientData/>
  </xdr:twoCellAnchor>
  <xdr:twoCellAnchor editAs="oneCell">
    <xdr:from>
      <xdr:col>0</xdr:col>
      <xdr:colOff>108428</xdr:colOff>
      <xdr:row>3</xdr:row>
      <xdr:rowOff>33617</xdr:rowOff>
    </xdr:from>
    <xdr:to>
      <xdr:col>0</xdr:col>
      <xdr:colOff>2503285</xdr:colOff>
      <xdr:row>9</xdr:row>
      <xdr:rowOff>93568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5" name="Subscription Type">
              <a:extLst>
                <a:ext uri="{FF2B5EF4-FFF2-40B4-BE49-F238E27FC236}">
                  <a16:creationId xmlns:a16="http://schemas.microsoft.com/office/drawing/2014/main" id="{29A2E9C7-64A3-48F0-9480-CE9CABDE96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428" y="1451784"/>
              <a:ext cx="2394857" cy="13299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108428</xdr:colOff>
      <xdr:row>9</xdr:row>
      <xdr:rowOff>182895</xdr:rowOff>
    </xdr:from>
    <xdr:to>
      <xdr:col>0</xdr:col>
      <xdr:colOff>2503285</xdr:colOff>
      <xdr:row>16</xdr:row>
      <xdr:rowOff>141994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7" name="Plan">
              <a:extLst>
                <a:ext uri="{FF2B5EF4-FFF2-40B4-BE49-F238E27FC236}">
                  <a16:creationId xmlns:a16="http://schemas.microsoft.com/office/drawing/2014/main" id="{FCD92262-D2EC-4F81-8098-6488D9CD86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428" y="2871062"/>
              <a:ext cx="2394857" cy="1292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108856</xdr:colOff>
      <xdr:row>17</xdr:row>
      <xdr:rowOff>40821</xdr:rowOff>
    </xdr:from>
    <xdr:to>
      <xdr:col>0</xdr:col>
      <xdr:colOff>2502856</xdr:colOff>
      <xdr:row>23</xdr:row>
      <xdr:rowOff>81643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8" name="Start Date">
              <a:extLst>
                <a:ext uri="{FF2B5EF4-FFF2-40B4-BE49-F238E27FC236}">
                  <a16:creationId xmlns:a16="http://schemas.microsoft.com/office/drawing/2014/main" id="{A8609399-AE33-4B77-B681-CF904E9D27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Start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56" y="4252988"/>
              <a:ext cx="2394000" cy="11838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ley Luna" refreshedDate="46115.368951504628" createdVersion="8" refreshedVersion="8" minRefreshableVersion="3" recordCount="295" xr:uid="{6803BE8E-3165-49A2-B761-E0D8AED3BC43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  <cacheField name="Trimestres (Start Date)" numFmtId="0" databaseField="0">
      <fieldGroup base="3">
        <rangePr groupBy="quarters" startDate="2024-01-01T00:00:00" endDate="2024-12-17T00:00:00"/>
        <groupItems count="6">
          <s v="&lt;01/01/2024"/>
          <s v="Trim1"/>
          <s v="Trim2"/>
          <s v="Trim3"/>
          <s v="Trim4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714557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x v="0"/>
    <x v="0"/>
    <n v="15"/>
    <x v="0"/>
    <x v="0"/>
    <n v="30"/>
    <x v="0"/>
    <n v="20"/>
    <n v="5"/>
    <n v="60"/>
  </r>
  <r>
    <x v="1"/>
    <s v="Maria Oliveira"/>
    <x v="1"/>
    <x v="1"/>
    <x v="1"/>
    <n v="5"/>
    <x v="1"/>
    <x v="1"/>
    <s v="-"/>
    <x v="1"/>
    <n v="0"/>
    <n v="0"/>
    <n v="5"/>
  </r>
  <r>
    <x v="2"/>
    <s v="Lucas Fernandes"/>
    <x v="2"/>
    <x v="2"/>
    <x v="0"/>
    <n v="10"/>
    <x v="2"/>
    <x v="1"/>
    <s v="-"/>
    <x v="0"/>
    <n v="20"/>
    <n v="10"/>
    <n v="20"/>
  </r>
  <r>
    <x v="3"/>
    <s v="Ana Souza"/>
    <x v="0"/>
    <x v="3"/>
    <x v="1"/>
    <n v="15"/>
    <x v="0"/>
    <x v="0"/>
    <n v="30"/>
    <x v="0"/>
    <n v="20"/>
    <n v="3"/>
    <n v="62"/>
  </r>
  <r>
    <x v="4"/>
    <s v="Pedro Gonçalves"/>
    <x v="1"/>
    <x v="4"/>
    <x v="0"/>
    <n v="5"/>
    <x v="0"/>
    <x v="1"/>
    <s v="-"/>
    <x v="1"/>
    <n v="0"/>
    <n v="1"/>
    <n v="4"/>
  </r>
  <r>
    <x v="5"/>
    <s v="Felipe Costa"/>
    <x v="2"/>
    <x v="5"/>
    <x v="1"/>
    <n v="10"/>
    <x v="0"/>
    <x v="1"/>
    <s v="-"/>
    <x v="0"/>
    <n v="20"/>
    <n v="2"/>
    <n v="28"/>
  </r>
  <r>
    <x v="6"/>
    <s v="Camila Ribeiro"/>
    <x v="0"/>
    <x v="6"/>
    <x v="0"/>
    <n v="15"/>
    <x v="2"/>
    <x v="0"/>
    <n v="30"/>
    <x v="0"/>
    <n v="20"/>
    <n v="10"/>
    <n v="55"/>
  </r>
  <r>
    <x v="7"/>
    <s v="André Mendes"/>
    <x v="1"/>
    <x v="7"/>
    <x v="0"/>
    <n v="5"/>
    <x v="1"/>
    <x v="1"/>
    <s v="-"/>
    <x v="1"/>
    <n v="0"/>
    <n v="0"/>
    <n v="5"/>
  </r>
  <r>
    <x v="8"/>
    <s v="Sofia Almeida"/>
    <x v="0"/>
    <x v="4"/>
    <x v="1"/>
    <n v="15"/>
    <x v="0"/>
    <x v="0"/>
    <n v="30"/>
    <x v="0"/>
    <n v="20"/>
    <n v="5"/>
    <n v="60"/>
  </r>
  <r>
    <x v="9"/>
    <s v="Bruno Martins"/>
    <x v="2"/>
    <x v="8"/>
    <x v="0"/>
    <n v="10"/>
    <x v="2"/>
    <x v="1"/>
    <s v="-"/>
    <x v="0"/>
    <n v="20"/>
    <n v="15"/>
    <n v="15"/>
  </r>
  <r>
    <x v="10"/>
    <s v="Rita Castro"/>
    <x v="1"/>
    <x v="9"/>
    <x v="1"/>
    <n v="5"/>
    <x v="0"/>
    <x v="1"/>
    <s v="-"/>
    <x v="1"/>
    <n v="0"/>
    <n v="1"/>
    <n v="4"/>
  </r>
  <r>
    <x v="11"/>
    <s v="Marco Túlio"/>
    <x v="0"/>
    <x v="10"/>
    <x v="0"/>
    <n v="15"/>
    <x v="1"/>
    <x v="0"/>
    <n v="30"/>
    <x v="0"/>
    <n v="20"/>
    <n v="20"/>
    <n v="45"/>
  </r>
  <r>
    <x v="12"/>
    <s v="Lívia Silveira"/>
    <x v="2"/>
    <x v="11"/>
    <x v="1"/>
    <n v="10"/>
    <x v="0"/>
    <x v="1"/>
    <s v="-"/>
    <x v="0"/>
    <n v="20"/>
    <n v="10"/>
    <n v="20"/>
  </r>
  <r>
    <x v="13"/>
    <s v="Diogo Sousa"/>
    <x v="1"/>
    <x v="12"/>
    <x v="0"/>
    <n v="5"/>
    <x v="2"/>
    <x v="1"/>
    <s v="-"/>
    <x v="1"/>
    <n v="0"/>
    <n v="0"/>
    <n v="5"/>
  </r>
  <r>
    <x v="14"/>
    <s v="Fernanda Lima"/>
    <x v="0"/>
    <x v="13"/>
    <x v="1"/>
    <n v="15"/>
    <x v="0"/>
    <x v="0"/>
    <n v="30"/>
    <x v="0"/>
    <n v="20"/>
    <n v="8"/>
    <n v="57"/>
  </r>
  <r>
    <x v="15"/>
    <s v="Caio Pereira"/>
    <x v="2"/>
    <x v="14"/>
    <x v="0"/>
    <n v="10"/>
    <x v="1"/>
    <x v="1"/>
    <s v="-"/>
    <x v="0"/>
    <n v="20"/>
    <n v="12"/>
    <n v="18"/>
  </r>
  <r>
    <x v="16"/>
    <s v="Beatriz Gomes"/>
    <x v="1"/>
    <x v="15"/>
    <x v="1"/>
    <n v="5"/>
    <x v="0"/>
    <x v="1"/>
    <s v="-"/>
    <x v="1"/>
    <n v="0"/>
    <n v="2"/>
    <n v="3"/>
  </r>
  <r>
    <x v="17"/>
    <s v="Cesar Oliveira"/>
    <x v="0"/>
    <x v="16"/>
    <x v="0"/>
    <n v="15"/>
    <x v="2"/>
    <x v="0"/>
    <n v="30"/>
    <x v="0"/>
    <n v="20"/>
    <n v="7"/>
    <n v="58"/>
  </r>
  <r>
    <x v="18"/>
    <s v="Débora Machado"/>
    <x v="2"/>
    <x v="17"/>
    <x v="1"/>
    <n v="10"/>
    <x v="0"/>
    <x v="1"/>
    <s v="-"/>
    <x v="0"/>
    <n v="20"/>
    <n v="5"/>
    <n v="25"/>
  </r>
  <r>
    <x v="19"/>
    <s v="Eduardo Vargas"/>
    <x v="1"/>
    <x v="18"/>
    <x v="0"/>
    <n v="5"/>
    <x v="1"/>
    <x v="1"/>
    <s v="-"/>
    <x v="1"/>
    <n v="0"/>
    <n v="0"/>
    <n v="5"/>
  </r>
  <r>
    <x v="20"/>
    <s v="Gabriela Santos"/>
    <x v="0"/>
    <x v="19"/>
    <x v="1"/>
    <n v="15"/>
    <x v="0"/>
    <x v="0"/>
    <n v="30"/>
    <x v="0"/>
    <n v="20"/>
    <n v="3"/>
    <n v="62"/>
  </r>
  <r>
    <x v="21"/>
    <s v="Henrique Dias"/>
    <x v="2"/>
    <x v="20"/>
    <x v="0"/>
    <n v="10"/>
    <x v="2"/>
    <x v="1"/>
    <s v="-"/>
    <x v="0"/>
    <n v="20"/>
    <n v="15"/>
    <n v="15"/>
  </r>
  <r>
    <x v="22"/>
    <s v="Isabela Moreira"/>
    <x v="1"/>
    <x v="21"/>
    <x v="1"/>
    <n v="5"/>
    <x v="0"/>
    <x v="1"/>
    <s v="-"/>
    <x v="1"/>
    <n v="0"/>
    <n v="1"/>
    <n v="4"/>
  </r>
  <r>
    <x v="23"/>
    <s v="Joaquim Barbosa"/>
    <x v="0"/>
    <x v="22"/>
    <x v="0"/>
    <n v="15"/>
    <x v="1"/>
    <x v="0"/>
    <n v="30"/>
    <x v="0"/>
    <n v="20"/>
    <n v="20"/>
    <n v="45"/>
  </r>
  <r>
    <x v="24"/>
    <s v="Lara Rocha"/>
    <x v="2"/>
    <x v="23"/>
    <x v="1"/>
    <n v="10"/>
    <x v="0"/>
    <x v="1"/>
    <s v="-"/>
    <x v="0"/>
    <n v="20"/>
    <n v="10"/>
    <n v="20"/>
  </r>
  <r>
    <x v="25"/>
    <s v="Matheus Silva"/>
    <x v="1"/>
    <x v="24"/>
    <x v="0"/>
    <n v="5"/>
    <x v="2"/>
    <x v="1"/>
    <s v="-"/>
    <x v="1"/>
    <n v="0"/>
    <n v="0"/>
    <n v="5"/>
  </r>
  <r>
    <x v="26"/>
    <s v="Nicole Costa"/>
    <x v="0"/>
    <x v="25"/>
    <x v="1"/>
    <n v="15"/>
    <x v="0"/>
    <x v="0"/>
    <n v="30"/>
    <x v="0"/>
    <n v="20"/>
    <n v="5"/>
    <n v="60"/>
  </r>
  <r>
    <x v="27"/>
    <s v="Otávio Mendonça"/>
    <x v="2"/>
    <x v="26"/>
    <x v="0"/>
    <n v="10"/>
    <x v="1"/>
    <x v="1"/>
    <s v="-"/>
    <x v="0"/>
    <n v="20"/>
    <n v="15"/>
    <n v="15"/>
  </r>
  <r>
    <x v="28"/>
    <s v="Paula Ferreira"/>
    <x v="1"/>
    <x v="27"/>
    <x v="1"/>
    <n v="5"/>
    <x v="0"/>
    <x v="1"/>
    <s v="-"/>
    <x v="1"/>
    <n v="0"/>
    <n v="1"/>
    <n v="4"/>
  </r>
  <r>
    <x v="29"/>
    <s v="Raquel Alves"/>
    <x v="0"/>
    <x v="28"/>
    <x v="0"/>
    <n v="15"/>
    <x v="2"/>
    <x v="0"/>
    <n v="30"/>
    <x v="0"/>
    <n v="20"/>
    <n v="7"/>
    <n v="58"/>
  </r>
  <r>
    <x v="30"/>
    <s v="Samuel Pires"/>
    <x v="2"/>
    <x v="29"/>
    <x v="1"/>
    <n v="10"/>
    <x v="0"/>
    <x v="1"/>
    <s v="-"/>
    <x v="0"/>
    <n v="20"/>
    <n v="10"/>
    <n v="20"/>
  </r>
  <r>
    <x v="31"/>
    <s v="Tânia Barros"/>
    <x v="1"/>
    <x v="30"/>
    <x v="0"/>
    <n v="5"/>
    <x v="1"/>
    <x v="1"/>
    <s v="-"/>
    <x v="1"/>
    <n v="0"/>
    <n v="0"/>
    <n v="5"/>
  </r>
  <r>
    <x v="32"/>
    <s v="Vinicius Lima"/>
    <x v="0"/>
    <x v="31"/>
    <x v="1"/>
    <n v="15"/>
    <x v="0"/>
    <x v="0"/>
    <n v="30"/>
    <x v="0"/>
    <n v="20"/>
    <n v="3"/>
    <n v="62"/>
  </r>
  <r>
    <x v="33"/>
    <s v="Yasmin Teixeira"/>
    <x v="2"/>
    <x v="32"/>
    <x v="0"/>
    <n v="10"/>
    <x v="2"/>
    <x v="1"/>
    <s v="-"/>
    <x v="0"/>
    <n v="20"/>
    <n v="15"/>
    <n v="15"/>
  </r>
  <r>
    <x v="34"/>
    <s v="Zé Carlos"/>
    <x v="1"/>
    <x v="33"/>
    <x v="1"/>
    <n v="5"/>
    <x v="0"/>
    <x v="1"/>
    <s v="-"/>
    <x v="1"/>
    <n v="0"/>
    <n v="1"/>
    <n v="4"/>
  </r>
  <r>
    <x v="35"/>
    <s v="Amanda Nogueira"/>
    <x v="1"/>
    <x v="34"/>
    <x v="0"/>
    <n v="5"/>
    <x v="0"/>
    <x v="1"/>
    <s v="-"/>
    <x v="1"/>
    <n v="0"/>
    <n v="0"/>
    <n v="5"/>
  </r>
  <r>
    <x v="36"/>
    <s v="Bruno Cavalheiro"/>
    <x v="0"/>
    <x v="35"/>
    <x v="1"/>
    <n v="15"/>
    <x v="2"/>
    <x v="0"/>
    <n v="30"/>
    <x v="0"/>
    <n v="20"/>
    <n v="7"/>
    <n v="58"/>
  </r>
  <r>
    <x v="37"/>
    <s v="Carla Dias"/>
    <x v="2"/>
    <x v="36"/>
    <x v="0"/>
    <n v="10"/>
    <x v="1"/>
    <x v="1"/>
    <s v="-"/>
    <x v="0"/>
    <n v="20"/>
    <n v="10"/>
    <n v="20"/>
  </r>
  <r>
    <x v="38"/>
    <s v="Diego Fontes"/>
    <x v="1"/>
    <x v="37"/>
    <x v="1"/>
    <n v="5"/>
    <x v="2"/>
    <x v="1"/>
    <s v="-"/>
    <x v="1"/>
    <n v="0"/>
    <n v="1"/>
    <n v="4"/>
  </r>
  <r>
    <x v="39"/>
    <s v="Eunice Lima"/>
    <x v="0"/>
    <x v="38"/>
    <x v="0"/>
    <n v="15"/>
    <x v="0"/>
    <x v="0"/>
    <n v="30"/>
    <x v="0"/>
    <n v="20"/>
    <n v="15"/>
    <n v="50"/>
  </r>
  <r>
    <x v="40"/>
    <s v="Fábio Martins"/>
    <x v="2"/>
    <x v="39"/>
    <x v="1"/>
    <n v="10"/>
    <x v="0"/>
    <x v="1"/>
    <s v="-"/>
    <x v="0"/>
    <n v="20"/>
    <n v="5"/>
    <n v="25"/>
  </r>
  <r>
    <x v="41"/>
    <s v="Gisele Araújo"/>
    <x v="1"/>
    <x v="40"/>
    <x v="0"/>
    <n v="5"/>
    <x v="1"/>
    <x v="1"/>
    <s v="-"/>
    <x v="1"/>
    <n v="0"/>
    <n v="0"/>
    <n v="5"/>
  </r>
  <r>
    <x v="42"/>
    <s v="Hélio Castro"/>
    <x v="0"/>
    <x v="41"/>
    <x v="1"/>
    <n v="15"/>
    <x v="2"/>
    <x v="0"/>
    <n v="30"/>
    <x v="0"/>
    <n v="20"/>
    <n v="20"/>
    <n v="45"/>
  </r>
  <r>
    <x v="43"/>
    <s v="Ingrid Menezes"/>
    <x v="2"/>
    <x v="42"/>
    <x v="0"/>
    <n v="10"/>
    <x v="2"/>
    <x v="1"/>
    <s v="-"/>
    <x v="0"/>
    <n v="20"/>
    <n v="12"/>
    <n v="18"/>
  </r>
  <r>
    <x v="44"/>
    <s v="Jorge Baptista"/>
    <x v="1"/>
    <x v="43"/>
    <x v="1"/>
    <n v="5"/>
    <x v="0"/>
    <x v="1"/>
    <s v="-"/>
    <x v="1"/>
    <n v="0"/>
    <n v="2"/>
    <n v="3"/>
  </r>
  <r>
    <x v="45"/>
    <s v="Kléber Oliveira"/>
    <x v="0"/>
    <x v="44"/>
    <x v="0"/>
    <n v="15"/>
    <x v="1"/>
    <x v="0"/>
    <n v="30"/>
    <x v="0"/>
    <n v="20"/>
    <n v="5"/>
    <n v="60"/>
  </r>
  <r>
    <x v="46"/>
    <s v="Luciana Freitas"/>
    <x v="2"/>
    <x v="45"/>
    <x v="1"/>
    <n v="10"/>
    <x v="0"/>
    <x v="1"/>
    <s v="-"/>
    <x v="0"/>
    <n v="20"/>
    <n v="10"/>
    <n v="20"/>
  </r>
  <r>
    <x v="47"/>
    <s v="Márcia Eller"/>
    <x v="1"/>
    <x v="46"/>
    <x v="0"/>
    <n v="5"/>
    <x v="2"/>
    <x v="1"/>
    <s v="-"/>
    <x v="1"/>
    <n v="0"/>
    <n v="0"/>
    <n v="5"/>
  </r>
  <r>
    <x v="48"/>
    <s v="Nilo Peçanha"/>
    <x v="0"/>
    <x v="47"/>
    <x v="1"/>
    <n v="15"/>
    <x v="0"/>
    <x v="0"/>
    <n v="30"/>
    <x v="0"/>
    <n v="20"/>
    <n v="3"/>
    <n v="62"/>
  </r>
  <r>
    <x v="49"/>
    <s v="Oscar Neves"/>
    <x v="2"/>
    <x v="48"/>
    <x v="0"/>
    <n v="10"/>
    <x v="1"/>
    <x v="1"/>
    <s v="-"/>
    <x v="0"/>
    <n v="20"/>
    <n v="15"/>
    <n v="15"/>
  </r>
  <r>
    <x v="50"/>
    <s v="Patrícia Soares"/>
    <x v="1"/>
    <x v="49"/>
    <x v="1"/>
    <n v="5"/>
    <x v="0"/>
    <x v="1"/>
    <s v="-"/>
    <x v="1"/>
    <n v="0"/>
    <n v="1"/>
    <n v="4"/>
  </r>
  <r>
    <x v="51"/>
    <s v="Quirino Gonçalves"/>
    <x v="0"/>
    <x v="50"/>
    <x v="0"/>
    <n v="15"/>
    <x v="2"/>
    <x v="0"/>
    <n v="30"/>
    <x v="0"/>
    <n v="20"/>
    <n v="7"/>
    <n v="58"/>
  </r>
  <r>
    <x v="52"/>
    <s v="Raul Machado"/>
    <x v="2"/>
    <x v="51"/>
    <x v="1"/>
    <n v="10"/>
    <x v="0"/>
    <x v="1"/>
    <s v="-"/>
    <x v="0"/>
    <n v="20"/>
    <n v="10"/>
    <n v="20"/>
  </r>
  <r>
    <x v="53"/>
    <s v="Sônia Lobo"/>
    <x v="1"/>
    <x v="52"/>
    <x v="0"/>
    <n v="5"/>
    <x v="1"/>
    <x v="1"/>
    <s v="-"/>
    <x v="1"/>
    <n v="0"/>
    <n v="0"/>
    <n v="5"/>
  </r>
  <r>
    <x v="54"/>
    <s v="Tiago Ramos"/>
    <x v="0"/>
    <x v="53"/>
    <x v="1"/>
    <n v="15"/>
    <x v="0"/>
    <x v="0"/>
    <n v="30"/>
    <x v="0"/>
    <n v="20"/>
    <n v="20"/>
    <n v="45"/>
  </r>
  <r>
    <x v="55"/>
    <s v="Ugo Pires"/>
    <x v="2"/>
    <x v="54"/>
    <x v="0"/>
    <n v="10"/>
    <x v="2"/>
    <x v="1"/>
    <s v="-"/>
    <x v="0"/>
    <n v="20"/>
    <n v="15"/>
    <n v="15"/>
  </r>
  <r>
    <x v="56"/>
    <s v="Valéria Nobre"/>
    <x v="1"/>
    <x v="55"/>
    <x v="1"/>
    <n v="5"/>
    <x v="0"/>
    <x v="1"/>
    <s v="-"/>
    <x v="1"/>
    <n v="0"/>
    <n v="1"/>
    <n v="4"/>
  </r>
  <r>
    <x v="57"/>
    <s v="William Siqueira"/>
    <x v="0"/>
    <x v="56"/>
    <x v="0"/>
    <n v="15"/>
    <x v="1"/>
    <x v="0"/>
    <n v="30"/>
    <x v="0"/>
    <n v="20"/>
    <n v="3"/>
    <n v="62"/>
  </r>
  <r>
    <x v="58"/>
    <s v="Xuxa Meneghel"/>
    <x v="2"/>
    <x v="57"/>
    <x v="1"/>
    <n v="10"/>
    <x v="0"/>
    <x v="1"/>
    <s v="-"/>
    <x v="0"/>
    <n v="20"/>
    <n v="10"/>
    <n v="20"/>
  </r>
  <r>
    <x v="59"/>
    <s v="Yara Figueiredo"/>
    <x v="1"/>
    <x v="58"/>
    <x v="0"/>
    <n v="5"/>
    <x v="2"/>
    <x v="1"/>
    <s v="-"/>
    <x v="1"/>
    <n v="0"/>
    <n v="0"/>
    <n v="5"/>
  </r>
  <r>
    <x v="60"/>
    <s v="Zacarias Alves"/>
    <x v="0"/>
    <x v="59"/>
    <x v="1"/>
    <n v="15"/>
    <x v="0"/>
    <x v="0"/>
    <n v="30"/>
    <x v="0"/>
    <n v="20"/>
    <n v="5"/>
    <n v="60"/>
  </r>
  <r>
    <x v="61"/>
    <s v="Amanda Bynes"/>
    <x v="2"/>
    <x v="60"/>
    <x v="0"/>
    <n v="10"/>
    <x v="1"/>
    <x v="1"/>
    <s v="-"/>
    <x v="0"/>
    <n v="20"/>
    <n v="15"/>
    <n v="15"/>
  </r>
  <r>
    <x v="62"/>
    <s v="Bruno Mars"/>
    <x v="1"/>
    <x v="61"/>
    <x v="1"/>
    <n v="5"/>
    <x v="0"/>
    <x v="1"/>
    <s v="-"/>
    <x v="1"/>
    <n v="0"/>
    <n v="1"/>
    <n v="4"/>
  </r>
  <r>
    <x v="63"/>
    <s v="Carla Bruni"/>
    <x v="0"/>
    <x v="62"/>
    <x v="0"/>
    <n v="15"/>
    <x v="2"/>
    <x v="0"/>
    <n v="30"/>
    <x v="0"/>
    <n v="20"/>
    <n v="20"/>
    <n v="45"/>
  </r>
  <r>
    <x v="64"/>
    <s v="Diego Maradona"/>
    <x v="2"/>
    <x v="63"/>
    <x v="1"/>
    <n v="10"/>
    <x v="0"/>
    <x v="1"/>
    <s v="-"/>
    <x v="0"/>
    <n v="20"/>
    <n v="5"/>
    <n v="25"/>
  </r>
  <r>
    <x v="65"/>
    <s v="Estela Marques"/>
    <x v="1"/>
    <x v="64"/>
    <x v="1"/>
    <n v="5"/>
    <x v="0"/>
    <x v="1"/>
    <s v="-"/>
    <x v="1"/>
    <n v="0"/>
    <n v="0"/>
    <n v="5"/>
  </r>
  <r>
    <x v="66"/>
    <s v="Fábio Nobre"/>
    <x v="0"/>
    <x v="65"/>
    <x v="0"/>
    <n v="15"/>
    <x v="2"/>
    <x v="0"/>
    <n v="30"/>
    <x v="0"/>
    <n v="20"/>
    <n v="7"/>
    <n v="58"/>
  </r>
  <r>
    <x v="67"/>
    <s v="Gabriel Oliveira"/>
    <x v="2"/>
    <x v="66"/>
    <x v="1"/>
    <n v="10"/>
    <x v="1"/>
    <x v="1"/>
    <s v="-"/>
    <x v="0"/>
    <n v="20"/>
    <n v="10"/>
    <n v="20"/>
  </r>
  <r>
    <x v="68"/>
    <s v="Helena Santos"/>
    <x v="1"/>
    <x v="67"/>
    <x v="0"/>
    <n v="5"/>
    <x v="2"/>
    <x v="1"/>
    <s v="-"/>
    <x v="1"/>
    <n v="0"/>
    <n v="1"/>
    <n v="4"/>
  </r>
  <r>
    <x v="69"/>
    <s v="Ivan Carvalho"/>
    <x v="0"/>
    <x v="68"/>
    <x v="1"/>
    <n v="15"/>
    <x v="0"/>
    <x v="0"/>
    <n v="30"/>
    <x v="0"/>
    <n v="20"/>
    <n v="15"/>
    <n v="50"/>
  </r>
  <r>
    <x v="70"/>
    <s v="Júlia Ferreira"/>
    <x v="2"/>
    <x v="69"/>
    <x v="0"/>
    <n v="10"/>
    <x v="0"/>
    <x v="1"/>
    <s v="-"/>
    <x v="0"/>
    <n v="20"/>
    <n v="5"/>
    <n v="25"/>
  </r>
  <r>
    <x v="71"/>
    <s v="Karla Alves"/>
    <x v="1"/>
    <x v="70"/>
    <x v="1"/>
    <n v="5"/>
    <x v="1"/>
    <x v="1"/>
    <s v="-"/>
    <x v="1"/>
    <n v="0"/>
    <n v="0"/>
    <n v="5"/>
  </r>
  <r>
    <x v="72"/>
    <s v="Lucas Mendes"/>
    <x v="0"/>
    <x v="71"/>
    <x v="0"/>
    <n v="15"/>
    <x v="2"/>
    <x v="0"/>
    <n v="30"/>
    <x v="0"/>
    <n v="20"/>
    <n v="20"/>
    <n v="45"/>
  </r>
  <r>
    <x v="73"/>
    <s v="Mônica Gomes"/>
    <x v="2"/>
    <x v="72"/>
    <x v="1"/>
    <n v="10"/>
    <x v="2"/>
    <x v="1"/>
    <s v="-"/>
    <x v="0"/>
    <n v="20"/>
    <n v="12"/>
    <n v="18"/>
  </r>
  <r>
    <x v="74"/>
    <s v="Norberto Queiroz"/>
    <x v="1"/>
    <x v="73"/>
    <x v="0"/>
    <n v="5"/>
    <x v="0"/>
    <x v="1"/>
    <s v="-"/>
    <x v="1"/>
    <n v="0"/>
    <n v="2"/>
    <n v="3"/>
  </r>
  <r>
    <x v="75"/>
    <s v="Otávio Barros"/>
    <x v="0"/>
    <x v="74"/>
    <x v="1"/>
    <n v="15"/>
    <x v="1"/>
    <x v="0"/>
    <n v="30"/>
    <x v="0"/>
    <n v="20"/>
    <n v="5"/>
    <n v="60"/>
  </r>
  <r>
    <x v="76"/>
    <s v="Paula Vieira"/>
    <x v="2"/>
    <x v="75"/>
    <x v="0"/>
    <n v="10"/>
    <x v="0"/>
    <x v="1"/>
    <s v="-"/>
    <x v="0"/>
    <n v="20"/>
    <n v="10"/>
    <n v="20"/>
  </r>
  <r>
    <x v="77"/>
    <s v="Quentin Ramos"/>
    <x v="1"/>
    <x v="76"/>
    <x v="1"/>
    <n v="5"/>
    <x v="2"/>
    <x v="1"/>
    <s v="-"/>
    <x v="1"/>
    <n v="0"/>
    <n v="0"/>
    <n v="5"/>
  </r>
  <r>
    <x v="78"/>
    <s v="Raquel Novaes"/>
    <x v="0"/>
    <x v="77"/>
    <x v="0"/>
    <n v="15"/>
    <x v="0"/>
    <x v="0"/>
    <n v="30"/>
    <x v="0"/>
    <n v="20"/>
    <n v="3"/>
    <n v="62"/>
  </r>
  <r>
    <x v="79"/>
    <s v="Samantha Lopes"/>
    <x v="2"/>
    <x v="78"/>
    <x v="1"/>
    <n v="10"/>
    <x v="1"/>
    <x v="1"/>
    <s v="-"/>
    <x v="0"/>
    <n v="20"/>
    <n v="15"/>
    <n v="15"/>
  </r>
  <r>
    <x v="80"/>
    <s v="Tiago Martins"/>
    <x v="1"/>
    <x v="79"/>
    <x v="0"/>
    <n v="5"/>
    <x v="0"/>
    <x v="1"/>
    <s v="-"/>
    <x v="1"/>
    <n v="0"/>
    <n v="1"/>
    <n v="4"/>
  </r>
  <r>
    <x v="81"/>
    <s v="Ulysses Guimarães"/>
    <x v="0"/>
    <x v="80"/>
    <x v="1"/>
    <n v="15"/>
    <x v="2"/>
    <x v="0"/>
    <n v="30"/>
    <x v="0"/>
    <n v="20"/>
    <n v="7"/>
    <n v="58"/>
  </r>
  <r>
    <x v="82"/>
    <s v="Vanessa Silva"/>
    <x v="2"/>
    <x v="81"/>
    <x v="0"/>
    <n v="10"/>
    <x v="0"/>
    <x v="1"/>
    <s v="-"/>
    <x v="0"/>
    <n v="20"/>
    <n v="10"/>
    <n v="20"/>
  </r>
  <r>
    <x v="83"/>
    <s v="William Carneiro"/>
    <x v="1"/>
    <x v="82"/>
    <x v="1"/>
    <n v="5"/>
    <x v="1"/>
    <x v="1"/>
    <s v="-"/>
    <x v="1"/>
    <n v="0"/>
    <n v="0"/>
    <n v="5"/>
  </r>
  <r>
    <x v="84"/>
    <s v="Ximena Rocha"/>
    <x v="0"/>
    <x v="83"/>
    <x v="0"/>
    <n v="15"/>
    <x v="0"/>
    <x v="0"/>
    <n v="30"/>
    <x v="0"/>
    <n v="20"/>
    <n v="20"/>
    <n v="45"/>
  </r>
  <r>
    <x v="85"/>
    <s v="Yasmin Figueiredo"/>
    <x v="2"/>
    <x v="84"/>
    <x v="1"/>
    <n v="10"/>
    <x v="2"/>
    <x v="1"/>
    <s v="-"/>
    <x v="0"/>
    <n v="20"/>
    <n v="15"/>
    <n v="15"/>
  </r>
  <r>
    <x v="86"/>
    <s v="Zara Cunha"/>
    <x v="1"/>
    <x v="85"/>
    <x v="0"/>
    <n v="5"/>
    <x v="0"/>
    <x v="1"/>
    <s v="-"/>
    <x v="1"/>
    <n v="0"/>
    <n v="1"/>
    <n v="4"/>
  </r>
  <r>
    <x v="87"/>
    <s v="Alan Teixeira"/>
    <x v="0"/>
    <x v="86"/>
    <x v="1"/>
    <n v="15"/>
    <x v="1"/>
    <x v="0"/>
    <n v="30"/>
    <x v="0"/>
    <n v="20"/>
    <n v="3"/>
    <n v="62"/>
  </r>
  <r>
    <x v="88"/>
    <s v="Bárbara Oliveira"/>
    <x v="2"/>
    <x v="87"/>
    <x v="0"/>
    <n v="10"/>
    <x v="0"/>
    <x v="1"/>
    <s v="-"/>
    <x v="0"/>
    <n v="20"/>
    <n v="10"/>
    <n v="20"/>
  </r>
  <r>
    <x v="89"/>
    <s v="Carlos Junqueira"/>
    <x v="1"/>
    <x v="88"/>
    <x v="1"/>
    <n v="5"/>
    <x v="2"/>
    <x v="1"/>
    <s v="-"/>
    <x v="1"/>
    <n v="0"/>
    <n v="0"/>
    <n v="5"/>
  </r>
  <r>
    <x v="90"/>
    <s v="Daniela Moura"/>
    <x v="0"/>
    <x v="89"/>
    <x v="0"/>
    <n v="15"/>
    <x v="0"/>
    <x v="0"/>
    <n v="30"/>
    <x v="0"/>
    <n v="20"/>
    <n v="5"/>
    <n v="60"/>
  </r>
  <r>
    <x v="91"/>
    <s v="Eduardo Lima"/>
    <x v="2"/>
    <x v="90"/>
    <x v="1"/>
    <n v="10"/>
    <x v="1"/>
    <x v="1"/>
    <s v="-"/>
    <x v="0"/>
    <n v="20"/>
    <n v="15"/>
    <n v="15"/>
  </r>
  <r>
    <x v="92"/>
    <s v="Fabiana Araújo"/>
    <x v="1"/>
    <x v="91"/>
    <x v="0"/>
    <n v="5"/>
    <x v="0"/>
    <x v="1"/>
    <s v="-"/>
    <x v="1"/>
    <n v="0"/>
    <n v="1"/>
    <n v="4"/>
  </r>
  <r>
    <x v="93"/>
    <s v="Geraldo Ribeiro"/>
    <x v="0"/>
    <x v="92"/>
    <x v="1"/>
    <n v="15"/>
    <x v="2"/>
    <x v="0"/>
    <n v="30"/>
    <x v="0"/>
    <n v="20"/>
    <n v="20"/>
    <n v="45"/>
  </r>
  <r>
    <x v="94"/>
    <s v="Héctor Vargas"/>
    <x v="2"/>
    <x v="93"/>
    <x v="0"/>
    <n v="10"/>
    <x v="2"/>
    <x v="1"/>
    <s v="-"/>
    <x v="0"/>
    <n v="20"/>
    <n v="15"/>
    <n v="15"/>
  </r>
  <r>
    <x v="95"/>
    <s v="Isabela Fonseca"/>
    <x v="1"/>
    <x v="94"/>
    <x v="1"/>
    <n v="5"/>
    <x v="1"/>
    <x v="1"/>
    <s v="-"/>
    <x v="1"/>
    <n v="0"/>
    <n v="0"/>
    <n v="5"/>
  </r>
  <r>
    <x v="96"/>
    <s v="João Pedro Almeida"/>
    <x v="0"/>
    <x v="95"/>
    <x v="0"/>
    <n v="15"/>
    <x v="0"/>
    <x v="0"/>
    <n v="30"/>
    <x v="0"/>
    <n v="20"/>
    <n v="7"/>
    <n v="58"/>
  </r>
  <r>
    <x v="97"/>
    <s v="Klara Costa"/>
    <x v="2"/>
    <x v="96"/>
    <x v="1"/>
    <n v="10"/>
    <x v="1"/>
    <x v="1"/>
    <s v="-"/>
    <x v="0"/>
    <n v="20"/>
    <n v="10"/>
    <n v="20"/>
  </r>
  <r>
    <x v="98"/>
    <s v="Luciana Mendes"/>
    <x v="1"/>
    <x v="97"/>
    <x v="0"/>
    <n v="5"/>
    <x v="2"/>
    <x v="1"/>
    <s v="-"/>
    <x v="1"/>
    <n v="0"/>
    <n v="1"/>
    <n v="4"/>
  </r>
  <r>
    <x v="99"/>
    <s v="Marcelo Gouveia"/>
    <x v="0"/>
    <x v="98"/>
    <x v="1"/>
    <n v="15"/>
    <x v="0"/>
    <x v="0"/>
    <n v="30"/>
    <x v="0"/>
    <n v="20"/>
    <n v="15"/>
    <n v="50"/>
  </r>
  <r>
    <x v="100"/>
    <s v="Nívea Borges"/>
    <x v="2"/>
    <x v="99"/>
    <x v="0"/>
    <n v="10"/>
    <x v="0"/>
    <x v="1"/>
    <s v="-"/>
    <x v="0"/>
    <n v="20"/>
    <n v="5"/>
    <n v="25"/>
  </r>
  <r>
    <x v="101"/>
    <s v="Oscar Nogueira"/>
    <x v="1"/>
    <x v="100"/>
    <x v="1"/>
    <n v="5"/>
    <x v="1"/>
    <x v="1"/>
    <s v="-"/>
    <x v="1"/>
    <n v="0"/>
    <n v="0"/>
    <n v="5"/>
  </r>
  <r>
    <x v="102"/>
    <s v="Patrícia Alves"/>
    <x v="0"/>
    <x v="101"/>
    <x v="0"/>
    <n v="15"/>
    <x v="2"/>
    <x v="0"/>
    <n v="30"/>
    <x v="0"/>
    <n v="20"/>
    <n v="20"/>
    <n v="45"/>
  </r>
  <r>
    <x v="103"/>
    <s v="Rafaela Silva"/>
    <x v="2"/>
    <x v="102"/>
    <x v="1"/>
    <n v="10"/>
    <x v="2"/>
    <x v="1"/>
    <s v="-"/>
    <x v="0"/>
    <n v="20"/>
    <n v="12"/>
    <n v="18"/>
  </r>
  <r>
    <x v="104"/>
    <s v="Samantha Moraes"/>
    <x v="1"/>
    <x v="103"/>
    <x v="0"/>
    <n v="5"/>
    <x v="0"/>
    <x v="1"/>
    <s v="-"/>
    <x v="1"/>
    <n v="0"/>
    <n v="2"/>
    <n v="3"/>
  </r>
  <r>
    <x v="105"/>
    <s v="Tatiana Rocha"/>
    <x v="1"/>
    <x v="104"/>
    <x v="0"/>
    <n v="5"/>
    <x v="0"/>
    <x v="1"/>
    <s v="-"/>
    <x v="1"/>
    <n v="0"/>
    <n v="0"/>
    <n v="5"/>
  </r>
  <r>
    <x v="106"/>
    <s v="Ulisses Tavares"/>
    <x v="0"/>
    <x v="105"/>
    <x v="1"/>
    <n v="15"/>
    <x v="2"/>
    <x v="0"/>
    <n v="30"/>
    <x v="0"/>
    <n v="20"/>
    <n v="7"/>
    <n v="58"/>
  </r>
  <r>
    <x v="107"/>
    <s v="Víctor Lemos"/>
    <x v="2"/>
    <x v="106"/>
    <x v="0"/>
    <n v="10"/>
    <x v="1"/>
    <x v="1"/>
    <s v="-"/>
    <x v="0"/>
    <n v="20"/>
    <n v="10"/>
    <n v="20"/>
  </r>
  <r>
    <x v="108"/>
    <s v="Wilma Barros"/>
    <x v="1"/>
    <x v="107"/>
    <x v="1"/>
    <n v="5"/>
    <x v="2"/>
    <x v="1"/>
    <s v="-"/>
    <x v="1"/>
    <n v="0"/>
    <n v="1"/>
    <n v="4"/>
  </r>
  <r>
    <x v="109"/>
    <s v="Xavier Nascimento"/>
    <x v="0"/>
    <x v="108"/>
    <x v="0"/>
    <n v="15"/>
    <x v="0"/>
    <x v="0"/>
    <n v="30"/>
    <x v="0"/>
    <n v="20"/>
    <n v="15"/>
    <n v="50"/>
  </r>
  <r>
    <x v="110"/>
    <s v="Yago Pereira"/>
    <x v="2"/>
    <x v="109"/>
    <x v="1"/>
    <n v="10"/>
    <x v="0"/>
    <x v="1"/>
    <s v="-"/>
    <x v="0"/>
    <n v="20"/>
    <n v="5"/>
    <n v="25"/>
  </r>
  <r>
    <x v="111"/>
    <s v="Zilda Ferreira"/>
    <x v="1"/>
    <x v="110"/>
    <x v="0"/>
    <n v="5"/>
    <x v="1"/>
    <x v="1"/>
    <s v="-"/>
    <x v="1"/>
    <n v="0"/>
    <n v="0"/>
    <n v="5"/>
  </r>
  <r>
    <x v="112"/>
    <s v="Amanda Lopes"/>
    <x v="0"/>
    <x v="111"/>
    <x v="1"/>
    <n v="15"/>
    <x v="2"/>
    <x v="0"/>
    <n v="30"/>
    <x v="0"/>
    <n v="20"/>
    <n v="20"/>
    <n v="45"/>
  </r>
  <r>
    <x v="113"/>
    <s v="Bruno Miranda"/>
    <x v="2"/>
    <x v="112"/>
    <x v="0"/>
    <n v="10"/>
    <x v="2"/>
    <x v="1"/>
    <s v="-"/>
    <x v="0"/>
    <n v="20"/>
    <n v="12"/>
    <n v="18"/>
  </r>
  <r>
    <x v="114"/>
    <s v="Célia Torres"/>
    <x v="1"/>
    <x v="113"/>
    <x v="1"/>
    <n v="5"/>
    <x v="0"/>
    <x v="1"/>
    <s v="-"/>
    <x v="1"/>
    <n v="0"/>
    <n v="2"/>
    <n v="3"/>
  </r>
  <r>
    <x v="115"/>
    <s v="Diogo Souza"/>
    <x v="0"/>
    <x v="114"/>
    <x v="0"/>
    <n v="15"/>
    <x v="1"/>
    <x v="0"/>
    <n v="30"/>
    <x v="0"/>
    <n v="20"/>
    <n v="5"/>
    <n v="60"/>
  </r>
  <r>
    <x v="116"/>
    <s v="Elisa Castro"/>
    <x v="2"/>
    <x v="115"/>
    <x v="1"/>
    <n v="10"/>
    <x v="0"/>
    <x v="1"/>
    <s v="-"/>
    <x v="0"/>
    <n v="20"/>
    <n v="10"/>
    <n v="20"/>
  </r>
  <r>
    <x v="117"/>
    <s v="Fátima Lima"/>
    <x v="1"/>
    <x v="116"/>
    <x v="0"/>
    <n v="5"/>
    <x v="2"/>
    <x v="1"/>
    <s v="-"/>
    <x v="1"/>
    <n v="0"/>
    <n v="0"/>
    <n v="5"/>
  </r>
  <r>
    <x v="118"/>
    <s v="Geraldo Ribeiro"/>
    <x v="0"/>
    <x v="117"/>
    <x v="1"/>
    <n v="15"/>
    <x v="0"/>
    <x v="0"/>
    <n v="30"/>
    <x v="0"/>
    <n v="20"/>
    <n v="3"/>
    <n v="62"/>
  </r>
  <r>
    <x v="119"/>
    <s v="Hélio Martins"/>
    <x v="2"/>
    <x v="118"/>
    <x v="0"/>
    <n v="10"/>
    <x v="1"/>
    <x v="1"/>
    <s v="-"/>
    <x v="0"/>
    <n v="20"/>
    <n v="15"/>
    <n v="15"/>
  </r>
  <r>
    <x v="120"/>
    <s v="Íris Santos"/>
    <x v="1"/>
    <x v="119"/>
    <x v="1"/>
    <n v="5"/>
    <x v="0"/>
    <x v="1"/>
    <s v="-"/>
    <x v="1"/>
    <n v="0"/>
    <n v="1"/>
    <n v="4"/>
  </r>
  <r>
    <x v="121"/>
    <s v="João Marcelo"/>
    <x v="0"/>
    <x v="120"/>
    <x v="0"/>
    <n v="15"/>
    <x v="2"/>
    <x v="0"/>
    <n v="30"/>
    <x v="0"/>
    <n v="20"/>
    <n v="7"/>
    <n v="58"/>
  </r>
  <r>
    <x v="122"/>
    <s v="Larissa Gomes"/>
    <x v="2"/>
    <x v="121"/>
    <x v="1"/>
    <n v="10"/>
    <x v="0"/>
    <x v="1"/>
    <s v="-"/>
    <x v="0"/>
    <n v="20"/>
    <n v="10"/>
    <n v="20"/>
  </r>
  <r>
    <x v="123"/>
    <s v="Márcio Silva"/>
    <x v="1"/>
    <x v="122"/>
    <x v="0"/>
    <n v="5"/>
    <x v="1"/>
    <x v="1"/>
    <s v="-"/>
    <x v="1"/>
    <n v="0"/>
    <n v="0"/>
    <n v="5"/>
  </r>
  <r>
    <x v="124"/>
    <s v="Nadia Costa"/>
    <x v="0"/>
    <x v="123"/>
    <x v="1"/>
    <n v="15"/>
    <x v="0"/>
    <x v="0"/>
    <n v="30"/>
    <x v="0"/>
    <n v="20"/>
    <n v="20"/>
    <n v="45"/>
  </r>
  <r>
    <x v="125"/>
    <s v="Oscar Almeida"/>
    <x v="2"/>
    <x v="124"/>
    <x v="0"/>
    <n v="10"/>
    <x v="2"/>
    <x v="1"/>
    <s v="-"/>
    <x v="0"/>
    <n v="20"/>
    <n v="15"/>
    <n v="15"/>
  </r>
  <r>
    <x v="126"/>
    <s v="Patricia Soares"/>
    <x v="1"/>
    <x v="125"/>
    <x v="1"/>
    <n v="5"/>
    <x v="0"/>
    <x v="1"/>
    <s v="-"/>
    <x v="1"/>
    <n v="0"/>
    <n v="1"/>
    <n v="4"/>
  </r>
  <r>
    <x v="127"/>
    <s v="Quênia Barros"/>
    <x v="0"/>
    <x v="126"/>
    <x v="0"/>
    <n v="15"/>
    <x v="1"/>
    <x v="0"/>
    <n v="30"/>
    <x v="0"/>
    <n v="20"/>
    <n v="3"/>
    <n v="62"/>
  </r>
  <r>
    <x v="128"/>
    <s v="Rafael Torres"/>
    <x v="2"/>
    <x v="127"/>
    <x v="1"/>
    <n v="10"/>
    <x v="0"/>
    <x v="1"/>
    <s v="-"/>
    <x v="0"/>
    <n v="20"/>
    <n v="10"/>
    <n v="20"/>
  </r>
  <r>
    <x v="129"/>
    <s v="Silvia Nascimento"/>
    <x v="1"/>
    <x v="128"/>
    <x v="0"/>
    <n v="5"/>
    <x v="2"/>
    <x v="1"/>
    <s v="-"/>
    <x v="1"/>
    <n v="0"/>
    <n v="0"/>
    <n v="5"/>
  </r>
  <r>
    <x v="130"/>
    <s v="Tiago Mendes"/>
    <x v="0"/>
    <x v="129"/>
    <x v="1"/>
    <n v="15"/>
    <x v="0"/>
    <x v="0"/>
    <n v="30"/>
    <x v="0"/>
    <n v="20"/>
    <n v="15"/>
    <n v="50"/>
  </r>
  <r>
    <x v="131"/>
    <s v="Ursula Silva"/>
    <x v="2"/>
    <x v="130"/>
    <x v="0"/>
    <n v="10"/>
    <x v="1"/>
    <x v="1"/>
    <s v="-"/>
    <x v="0"/>
    <n v="20"/>
    <n v="15"/>
    <n v="15"/>
  </r>
  <r>
    <x v="132"/>
    <s v="Vanessa Moraes"/>
    <x v="1"/>
    <x v="131"/>
    <x v="1"/>
    <n v="5"/>
    <x v="0"/>
    <x v="1"/>
    <s v="-"/>
    <x v="1"/>
    <n v="0"/>
    <n v="1"/>
    <n v="4"/>
  </r>
  <r>
    <x v="133"/>
    <s v="Waldir Junior"/>
    <x v="0"/>
    <x v="132"/>
    <x v="0"/>
    <n v="15"/>
    <x v="2"/>
    <x v="0"/>
    <n v="30"/>
    <x v="0"/>
    <n v="20"/>
    <n v="7"/>
    <n v="58"/>
  </r>
  <r>
    <x v="134"/>
    <s v="Xavier Lopes"/>
    <x v="2"/>
    <x v="133"/>
    <x v="1"/>
    <n v="10"/>
    <x v="0"/>
    <x v="1"/>
    <s v="-"/>
    <x v="0"/>
    <n v="20"/>
    <n v="10"/>
    <n v="20"/>
  </r>
  <r>
    <x v="135"/>
    <s v="Yolanda Freitas"/>
    <x v="1"/>
    <x v="134"/>
    <x v="0"/>
    <n v="5"/>
    <x v="0"/>
    <x v="1"/>
    <s v="-"/>
    <x v="1"/>
    <n v="0"/>
    <n v="0"/>
    <n v="5"/>
  </r>
  <r>
    <x v="136"/>
    <s v="Zacarias Nunes"/>
    <x v="0"/>
    <x v="135"/>
    <x v="1"/>
    <n v="15"/>
    <x v="2"/>
    <x v="0"/>
    <n v="30"/>
    <x v="0"/>
    <n v="20"/>
    <n v="7"/>
    <n v="58"/>
  </r>
  <r>
    <x v="137"/>
    <s v="Ana Clara Barreto"/>
    <x v="2"/>
    <x v="136"/>
    <x v="0"/>
    <n v="10"/>
    <x v="1"/>
    <x v="1"/>
    <s v="-"/>
    <x v="0"/>
    <n v="20"/>
    <n v="10"/>
    <n v="20"/>
  </r>
  <r>
    <x v="138"/>
    <s v="Bruno Henrique"/>
    <x v="1"/>
    <x v="137"/>
    <x v="1"/>
    <n v="5"/>
    <x v="2"/>
    <x v="1"/>
    <s v="-"/>
    <x v="1"/>
    <n v="0"/>
    <n v="1"/>
    <n v="4"/>
  </r>
  <r>
    <x v="139"/>
    <s v="Carlos Eduardo"/>
    <x v="0"/>
    <x v="138"/>
    <x v="0"/>
    <n v="15"/>
    <x v="0"/>
    <x v="0"/>
    <n v="30"/>
    <x v="0"/>
    <n v="20"/>
    <n v="15"/>
    <n v="50"/>
  </r>
  <r>
    <x v="140"/>
    <s v="Débora Lima"/>
    <x v="2"/>
    <x v="139"/>
    <x v="1"/>
    <n v="10"/>
    <x v="0"/>
    <x v="1"/>
    <s v="-"/>
    <x v="0"/>
    <n v="20"/>
    <n v="5"/>
    <n v="25"/>
  </r>
  <r>
    <x v="141"/>
    <s v="Elisa Neves"/>
    <x v="1"/>
    <x v="140"/>
    <x v="0"/>
    <n v="5"/>
    <x v="1"/>
    <x v="1"/>
    <s v="-"/>
    <x v="1"/>
    <n v="0"/>
    <n v="0"/>
    <n v="5"/>
  </r>
  <r>
    <x v="142"/>
    <s v="Fabiano Gomes"/>
    <x v="0"/>
    <x v="141"/>
    <x v="1"/>
    <n v="15"/>
    <x v="2"/>
    <x v="0"/>
    <n v="30"/>
    <x v="0"/>
    <n v="20"/>
    <n v="20"/>
    <n v="45"/>
  </r>
  <r>
    <x v="143"/>
    <s v="Gisele Oliveira"/>
    <x v="2"/>
    <x v="142"/>
    <x v="0"/>
    <n v="10"/>
    <x v="2"/>
    <x v="1"/>
    <s v="-"/>
    <x v="0"/>
    <n v="20"/>
    <n v="12"/>
    <n v="18"/>
  </r>
  <r>
    <x v="144"/>
    <s v="Héctor Silva"/>
    <x v="1"/>
    <x v="143"/>
    <x v="1"/>
    <n v="5"/>
    <x v="0"/>
    <x v="1"/>
    <s v="-"/>
    <x v="1"/>
    <n v="0"/>
    <n v="2"/>
    <n v="3"/>
  </r>
  <r>
    <x v="145"/>
    <s v="Igor Martins"/>
    <x v="0"/>
    <x v="144"/>
    <x v="0"/>
    <n v="15"/>
    <x v="1"/>
    <x v="0"/>
    <n v="30"/>
    <x v="0"/>
    <n v="20"/>
    <n v="5"/>
    <n v="60"/>
  </r>
  <r>
    <x v="146"/>
    <s v="Joana Figueiredo"/>
    <x v="2"/>
    <x v="145"/>
    <x v="1"/>
    <n v="10"/>
    <x v="0"/>
    <x v="1"/>
    <s v="-"/>
    <x v="0"/>
    <n v="20"/>
    <n v="10"/>
    <n v="20"/>
  </r>
  <r>
    <x v="147"/>
    <s v="Kleber Machado"/>
    <x v="1"/>
    <x v="146"/>
    <x v="0"/>
    <n v="5"/>
    <x v="2"/>
    <x v="1"/>
    <s v="-"/>
    <x v="1"/>
    <n v="0"/>
    <n v="0"/>
    <n v="5"/>
  </r>
  <r>
    <x v="148"/>
    <s v="Luciana Santos"/>
    <x v="0"/>
    <x v="147"/>
    <x v="1"/>
    <n v="15"/>
    <x v="0"/>
    <x v="0"/>
    <n v="30"/>
    <x v="0"/>
    <n v="20"/>
    <n v="3"/>
    <n v="62"/>
  </r>
  <r>
    <x v="149"/>
    <s v="Marcos Teixeira"/>
    <x v="2"/>
    <x v="148"/>
    <x v="0"/>
    <n v="10"/>
    <x v="1"/>
    <x v="1"/>
    <s v="-"/>
    <x v="0"/>
    <n v="20"/>
    <n v="15"/>
    <n v="15"/>
  </r>
  <r>
    <x v="150"/>
    <s v="Natalia Costa"/>
    <x v="1"/>
    <x v="149"/>
    <x v="1"/>
    <n v="5"/>
    <x v="0"/>
    <x v="1"/>
    <s v="-"/>
    <x v="1"/>
    <n v="0"/>
    <n v="1"/>
    <n v="4"/>
  </r>
  <r>
    <x v="151"/>
    <s v="Oscar Ribeiro"/>
    <x v="0"/>
    <x v="150"/>
    <x v="0"/>
    <n v="15"/>
    <x v="2"/>
    <x v="0"/>
    <n v="30"/>
    <x v="0"/>
    <n v="20"/>
    <n v="7"/>
    <n v="58"/>
  </r>
  <r>
    <x v="152"/>
    <s v="Patricia Almeida"/>
    <x v="2"/>
    <x v="151"/>
    <x v="1"/>
    <n v="10"/>
    <x v="0"/>
    <x v="1"/>
    <s v="-"/>
    <x v="0"/>
    <n v="20"/>
    <n v="10"/>
    <n v="20"/>
  </r>
  <r>
    <x v="153"/>
    <s v="Quirino Junior"/>
    <x v="1"/>
    <x v="152"/>
    <x v="0"/>
    <n v="5"/>
    <x v="1"/>
    <x v="1"/>
    <s v="-"/>
    <x v="1"/>
    <n v="0"/>
    <n v="0"/>
    <n v="5"/>
  </r>
  <r>
    <x v="154"/>
    <s v="Renata Machado"/>
    <x v="0"/>
    <x v="153"/>
    <x v="1"/>
    <n v="15"/>
    <x v="0"/>
    <x v="0"/>
    <n v="30"/>
    <x v="0"/>
    <n v="20"/>
    <n v="20"/>
    <n v="45"/>
  </r>
  <r>
    <x v="155"/>
    <s v="Sônia Alves"/>
    <x v="2"/>
    <x v="154"/>
    <x v="0"/>
    <n v="10"/>
    <x v="2"/>
    <x v="1"/>
    <s v="-"/>
    <x v="0"/>
    <n v="20"/>
    <n v="15"/>
    <n v="15"/>
  </r>
  <r>
    <x v="156"/>
    <s v="Tiago Nunes"/>
    <x v="1"/>
    <x v="155"/>
    <x v="1"/>
    <n v="5"/>
    <x v="0"/>
    <x v="1"/>
    <s v="-"/>
    <x v="1"/>
    <n v="0"/>
    <n v="1"/>
    <n v="4"/>
  </r>
  <r>
    <x v="157"/>
    <s v="Ulysses Pereira"/>
    <x v="0"/>
    <x v="156"/>
    <x v="0"/>
    <n v="15"/>
    <x v="1"/>
    <x v="0"/>
    <n v="30"/>
    <x v="0"/>
    <n v="20"/>
    <n v="3"/>
    <n v="62"/>
  </r>
  <r>
    <x v="158"/>
    <s v="Vanessa Lima"/>
    <x v="2"/>
    <x v="157"/>
    <x v="1"/>
    <n v="10"/>
    <x v="0"/>
    <x v="1"/>
    <s v="-"/>
    <x v="0"/>
    <n v="20"/>
    <n v="10"/>
    <n v="20"/>
  </r>
  <r>
    <x v="159"/>
    <s v="Wagner Santos"/>
    <x v="1"/>
    <x v="158"/>
    <x v="0"/>
    <n v="5"/>
    <x v="2"/>
    <x v="1"/>
    <s v="-"/>
    <x v="1"/>
    <n v="0"/>
    <n v="0"/>
    <n v="5"/>
  </r>
  <r>
    <x v="160"/>
    <s v="Xuxa Meneghel"/>
    <x v="0"/>
    <x v="159"/>
    <x v="1"/>
    <n v="15"/>
    <x v="0"/>
    <x v="0"/>
    <n v="30"/>
    <x v="0"/>
    <n v="20"/>
    <n v="15"/>
    <n v="50"/>
  </r>
  <r>
    <x v="161"/>
    <s v="Yasmin Silva"/>
    <x v="2"/>
    <x v="160"/>
    <x v="0"/>
    <n v="10"/>
    <x v="1"/>
    <x v="1"/>
    <s v="-"/>
    <x v="0"/>
    <n v="20"/>
    <n v="15"/>
    <n v="15"/>
  </r>
  <r>
    <x v="162"/>
    <s v="Zacarias de Souza"/>
    <x v="1"/>
    <x v="161"/>
    <x v="1"/>
    <n v="5"/>
    <x v="0"/>
    <x v="1"/>
    <s v="-"/>
    <x v="1"/>
    <n v="0"/>
    <n v="1"/>
    <n v="4"/>
  </r>
  <r>
    <x v="163"/>
    <s v="André Lima"/>
    <x v="0"/>
    <x v="162"/>
    <x v="0"/>
    <n v="15"/>
    <x v="2"/>
    <x v="0"/>
    <n v="30"/>
    <x v="0"/>
    <n v="20"/>
    <n v="7"/>
    <n v="58"/>
  </r>
  <r>
    <x v="164"/>
    <s v="Bianca Freitas"/>
    <x v="2"/>
    <x v="163"/>
    <x v="1"/>
    <n v="10"/>
    <x v="0"/>
    <x v="1"/>
    <s v="-"/>
    <x v="0"/>
    <n v="20"/>
    <n v="10"/>
    <n v="20"/>
  </r>
  <r>
    <x v="165"/>
    <s v="Caio Mendes"/>
    <x v="1"/>
    <x v="164"/>
    <x v="0"/>
    <n v="5"/>
    <x v="1"/>
    <x v="1"/>
    <s v="-"/>
    <x v="1"/>
    <n v="0"/>
    <n v="0"/>
    <n v="5"/>
  </r>
  <r>
    <x v="166"/>
    <s v="Daniela Moura"/>
    <x v="0"/>
    <x v="165"/>
    <x v="1"/>
    <n v="15"/>
    <x v="0"/>
    <x v="0"/>
    <n v="30"/>
    <x v="0"/>
    <n v="20"/>
    <n v="20"/>
    <n v="45"/>
  </r>
  <r>
    <x v="167"/>
    <s v="Eduardo Costa"/>
    <x v="2"/>
    <x v="166"/>
    <x v="0"/>
    <n v="10"/>
    <x v="2"/>
    <x v="1"/>
    <s v="-"/>
    <x v="0"/>
    <n v="20"/>
    <n v="15"/>
    <n v="15"/>
  </r>
  <r>
    <x v="168"/>
    <s v="Fernanda Gomes"/>
    <x v="1"/>
    <x v="167"/>
    <x v="1"/>
    <n v="5"/>
    <x v="0"/>
    <x v="1"/>
    <s v="-"/>
    <x v="1"/>
    <n v="0"/>
    <n v="1"/>
    <n v="4"/>
  </r>
  <r>
    <x v="169"/>
    <s v="Guilherme Souza"/>
    <x v="0"/>
    <x v="168"/>
    <x v="0"/>
    <n v="15"/>
    <x v="1"/>
    <x v="0"/>
    <n v="30"/>
    <x v="0"/>
    <n v="20"/>
    <n v="5"/>
    <n v="60"/>
  </r>
  <r>
    <x v="170"/>
    <s v="Helena Ribeiro"/>
    <x v="2"/>
    <x v="169"/>
    <x v="1"/>
    <n v="10"/>
    <x v="0"/>
    <x v="1"/>
    <s v="-"/>
    <x v="0"/>
    <n v="20"/>
    <n v="10"/>
    <n v="20"/>
  </r>
  <r>
    <x v="171"/>
    <s v="Igor Santos"/>
    <x v="1"/>
    <x v="170"/>
    <x v="0"/>
    <n v="5"/>
    <x v="2"/>
    <x v="1"/>
    <s v="-"/>
    <x v="1"/>
    <n v="0"/>
    <n v="0"/>
    <n v="5"/>
  </r>
  <r>
    <x v="172"/>
    <s v="João Carvalho"/>
    <x v="0"/>
    <x v="171"/>
    <x v="1"/>
    <n v="15"/>
    <x v="0"/>
    <x v="0"/>
    <n v="30"/>
    <x v="0"/>
    <n v="20"/>
    <n v="3"/>
    <n v="62"/>
  </r>
  <r>
    <x v="173"/>
    <s v="Klara Fagundes"/>
    <x v="2"/>
    <x v="172"/>
    <x v="0"/>
    <n v="10"/>
    <x v="1"/>
    <x v="1"/>
    <s v="-"/>
    <x v="0"/>
    <n v="20"/>
    <n v="15"/>
    <n v="15"/>
  </r>
  <r>
    <x v="174"/>
    <s v="Lúcia Mendonça"/>
    <x v="1"/>
    <x v="173"/>
    <x v="1"/>
    <n v="5"/>
    <x v="0"/>
    <x v="1"/>
    <s v="-"/>
    <x v="1"/>
    <n v="0"/>
    <n v="1"/>
    <n v="4"/>
  </r>
  <r>
    <x v="175"/>
    <s v="Marcelo Novaes"/>
    <x v="1"/>
    <x v="174"/>
    <x v="0"/>
    <n v="5"/>
    <x v="0"/>
    <x v="1"/>
    <s v="-"/>
    <x v="1"/>
    <n v="0"/>
    <n v="0"/>
    <n v="5"/>
  </r>
  <r>
    <x v="176"/>
    <s v="Nina Pacheco"/>
    <x v="0"/>
    <x v="175"/>
    <x v="1"/>
    <n v="15"/>
    <x v="2"/>
    <x v="0"/>
    <n v="30"/>
    <x v="0"/>
    <n v="20"/>
    <n v="7"/>
    <n v="58"/>
  </r>
  <r>
    <x v="177"/>
    <s v="Olívia Rios"/>
    <x v="2"/>
    <x v="176"/>
    <x v="0"/>
    <n v="10"/>
    <x v="1"/>
    <x v="1"/>
    <s v="-"/>
    <x v="0"/>
    <n v="20"/>
    <n v="10"/>
    <n v="20"/>
  </r>
  <r>
    <x v="178"/>
    <s v="Paulo Quintana"/>
    <x v="1"/>
    <x v="177"/>
    <x v="1"/>
    <n v="5"/>
    <x v="2"/>
    <x v="1"/>
    <s v="-"/>
    <x v="1"/>
    <n v="0"/>
    <n v="1"/>
    <n v="4"/>
  </r>
  <r>
    <x v="179"/>
    <s v="Raquel Domingos"/>
    <x v="0"/>
    <x v="178"/>
    <x v="0"/>
    <n v="15"/>
    <x v="0"/>
    <x v="0"/>
    <n v="30"/>
    <x v="0"/>
    <n v="20"/>
    <n v="15"/>
    <n v="50"/>
  </r>
  <r>
    <x v="180"/>
    <s v="Samuel Viana"/>
    <x v="2"/>
    <x v="179"/>
    <x v="1"/>
    <n v="10"/>
    <x v="0"/>
    <x v="1"/>
    <s v="-"/>
    <x v="0"/>
    <n v="20"/>
    <n v="5"/>
    <n v="25"/>
  </r>
  <r>
    <x v="181"/>
    <s v="Tatiane Rocha"/>
    <x v="1"/>
    <x v="180"/>
    <x v="0"/>
    <n v="5"/>
    <x v="1"/>
    <x v="1"/>
    <s v="-"/>
    <x v="1"/>
    <n v="0"/>
    <n v="0"/>
    <n v="5"/>
  </r>
  <r>
    <x v="182"/>
    <s v="Ulysses Farias"/>
    <x v="0"/>
    <x v="181"/>
    <x v="1"/>
    <n v="15"/>
    <x v="2"/>
    <x v="0"/>
    <n v="30"/>
    <x v="0"/>
    <n v="20"/>
    <n v="20"/>
    <n v="45"/>
  </r>
  <r>
    <x v="183"/>
    <s v="Vanessa Moreira"/>
    <x v="2"/>
    <x v="182"/>
    <x v="0"/>
    <n v="10"/>
    <x v="2"/>
    <x v="1"/>
    <s v="-"/>
    <x v="0"/>
    <n v="20"/>
    <n v="12"/>
    <n v="18"/>
  </r>
  <r>
    <x v="184"/>
    <s v="William Carvalho"/>
    <x v="1"/>
    <x v="183"/>
    <x v="1"/>
    <n v="5"/>
    <x v="0"/>
    <x v="1"/>
    <s v="-"/>
    <x v="1"/>
    <n v="0"/>
    <n v="2"/>
    <n v="3"/>
  </r>
  <r>
    <x v="185"/>
    <s v="Ximena Barros"/>
    <x v="0"/>
    <x v="184"/>
    <x v="0"/>
    <n v="15"/>
    <x v="1"/>
    <x v="0"/>
    <n v="30"/>
    <x v="0"/>
    <n v="20"/>
    <n v="5"/>
    <n v="60"/>
  </r>
  <r>
    <x v="186"/>
    <s v="Yara Machado"/>
    <x v="2"/>
    <x v="185"/>
    <x v="1"/>
    <n v="10"/>
    <x v="0"/>
    <x v="1"/>
    <s v="-"/>
    <x v="0"/>
    <n v="20"/>
    <n v="10"/>
    <n v="20"/>
  </r>
  <r>
    <x v="187"/>
    <s v="Zacarias Costa"/>
    <x v="1"/>
    <x v="186"/>
    <x v="0"/>
    <n v="5"/>
    <x v="2"/>
    <x v="1"/>
    <s v="-"/>
    <x v="1"/>
    <n v="0"/>
    <n v="0"/>
    <n v="5"/>
  </r>
  <r>
    <x v="188"/>
    <s v="André Lopes"/>
    <x v="0"/>
    <x v="187"/>
    <x v="1"/>
    <n v="15"/>
    <x v="0"/>
    <x v="0"/>
    <n v="30"/>
    <x v="0"/>
    <n v="20"/>
    <n v="3"/>
    <n v="62"/>
  </r>
  <r>
    <x v="189"/>
    <s v="Beatriz Souza"/>
    <x v="2"/>
    <x v="188"/>
    <x v="0"/>
    <n v="10"/>
    <x v="1"/>
    <x v="1"/>
    <s v="-"/>
    <x v="0"/>
    <n v="20"/>
    <n v="15"/>
    <n v="15"/>
  </r>
  <r>
    <x v="190"/>
    <s v="Caio Pereira"/>
    <x v="1"/>
    <x v="189"/>
    <x v="1"/>
    <n v="5"/>
    <x v="0"/>
    <x v="1"/>
    <s v="-"/>
    <x v="1"/>
    <n v="0"/>
    <n v="1"/>
    <n v="4"/>
  </r>
  <r>
    <x v="191"/>
    <s v="Daniela Araújo"/>
    <x v="0"/>
    <x v="190"/>
    <x v="0"/>
    <n v="15"/>
    <x v="2"/>
    <x v="0"/>
    <n v="30"/>
    <x v="0"/>
    <n v="20"/>
    <n v="7"/>
    <n v="58"/>
  </r>
  <r>
    <x v="192"/>
    <s v="Eduardo Santos"/>
    <x v="2"/>
    <x v="191"/>
    <x v="1"/>
    <n v="10"/>
    <x v="0"/>
    <x v="1"/>
    <s v="-"/>
    <x v="0"/>
    <n v="20"/>
    <n v="10"/>
    <n v="20"/>
  </r>
  <r>
    <x v="193"/>
    <s v="Fernanda Lima"/>
    <x v="1"/>
    <x v="192"/>
    <x v="0"/>
    <n v="5"/>
    <x v="1"/>
    <x v="1"/>
    <s v="-"/>
    <x v="1"/>
    <n v="0"/>
    <n v="0"/>
    <n v="5"/>
  </r>
  <r>
    <x v="194"/>
    <s v="Gabriel Teixeira"/>
    <x v="0"/>
    <x v="193"/>
    <x v="1"/>
    <n v="15"/>
    <x v="0"/>
    <x v="0"/>
    <n v="30"/>
    <x v="0"/>
    <n v="20"/>
    <n v="20"/>
    <n v="45"/>
  </r>
  <r>
    <x v="195"/>
    <s v="Helena Ribeiro"/>
    <x v="2"/>
    <x v="194"/>
    <x v="0"/>
    <n v="10"/>
    <x v="2"/>
    <x v="1"/>
    <s v="-"/>
    <x v="0"/>
    <n v="20"/>
    <n v="15"/>
    <n v="15"/>
  </r>
  <r>
    <x v="196"/>
    <s v="Igor Mendes"/>
    <x v="1"/>
    <x v="195"/>
    <x v="1"/>
    <n v="5"/>
    <x v="0"/>
    <x v="1"/>
    <s v="-"/>
    <x v="1"/>
    <n v="0"/>
    <n v="1"/>
    <n v="4"/>
  </r>
  <r>
    <x v="197"/>
    <s v="Joana Silveira"/>
    <x v="0"/>
    <x v="196"/>
    <x v="0"/>
    <n v="15"/>
    <x v="1"/>
    <x v="0"/>
    <n v="30"/>
    <x v="0"/>
    <n v="20"/>
    <n v="3"/>
    <n v="62"/>
  </r>
  <r>
    <x v="198"/>
    <s v="Lucas Martins"/>
    <x v="2"/>
    <x v="197"/>
    <x v="1"/>
    <n v="10"/>
    <x v="0"/>
    <x v="1"/>
    <s v="-"/>
    <x v="0"/>
    <n v="20"/>
    <n v="10"/>
    <n v="20"/>
  </r>
  <r>
    <x v="199"/>
    <s v="Marcela Gouveia"/>
    <x v="1"/>
    <x v="198"/>
    <x v="0"/>
    <n v="5"/>
    <x v="2"/>
    <x v="1"/>
    <s v="-"/>
    <x v="1"/>
    <n v="0"/>
    <n v="0"/>
    <n v="5"/>
  </r>
  <r>
    <x v="200"/>
    <s v="Nicolas Borges"/>
    <x v="0"/>
    <x v="199"/>
    <x v="1"/>
    <n v="15"/>
    <x v="0"/>
    <x v="0"/>
    <n v="30"/>
    <x v="0"/>
    <n v="20"/>
    <n v="15"/>
    <n v="50"/>
  </r>
  <r>
    <x v="201"/>
    <s v="Olivia Freitas"/>
    <x v="2"/>
    <x v="200"/>
    <x v="0"/>
    <n v="10"/>
    <x v="1"/>
    <x v="1"/>
    <s v="-"/>
    <x v="0"/>
    <n v="20"/>
    <n v="15"/>
    <n v="15"/>
  </r>
  <r>
    <x v="202"/>
    <s v="Paulo Nogueira"/>
    <x v="1"/>
    <x v="201"/>
    <x v="1"/>
    <n v="5"/>
    <x v="0"/>
    <x v="1"/>
    <s v="-"/>
    <x v="1"/>
    <n v="0"/>
    <n v="1"/>
    <n v="4"/>
  </r>
  <r>
    <x v="203"/>
    <s v="Raquel Andrade"/>
    <x v="0"/>
    <x v="202"/>
    <x v="0"/>
    <n v="15"/>
    <x v="2"/>
    <x v="0"/>
    <n v="30"/>
    <x v="0"/>
    <n v="20"/>
    <n v="7"/>
    <n v="58"/>
  </r>
  <r>
    <x v="204"/>
    <s v="Sônia Carvalho"/>
    <x v="2"/>
    <x v="203"/>
    <x v="1"/>
    <n v="10"/>
    <x v="0"/>
    <x v="1"/>
    <s v="-"/>
    <x v="0"/>
    <n v="20"/>
    <n v="10"/>
    <n v="20"/>
  </r>
  <r>
    <x v="205"/>
    <s v="Tiago Rodrigues"/>
    <x v="1"/>
    <x v="204"/>
    <x v="0"/>
    <n v="5"/>
    <x v="0"/>
    <x v="1"/>
    <s v="-"/>
    <x v="1"/>
    <n v="0"/>
    <n v="0"/>
    <n v="5"/>
  </r>
  <r>
    <x v="206"/>
    <s v="Ursula Monteiro"/>
    <x v="0"/>
    <x v="205"/>
    <x v="1"/>
    <n v="15"/>
    <x v="2"/>
    <x v="0"/>
    <n v="30"/>
    <x v="0"/>
    <n v="20"/>
    <n v="7"/>
    <n v="58"/>
  </r>
  <r>
    <x v="207"/>
    <s v="Vanessa Pereira"/>
    <x v="2"/>
    <x v="206"/>
    <x v="0"/>
    <n v="10"/>
    <x v="1"/>
    <x v="1"/>
    <s v="-"/>
    <x v="0"/>
    <n v="20"/>
    <n v="10"/>
    <n v="20"/>
  </r>
  <r>
    <x v="208"/>
    <s v="Walter Silva"/>
    <x v="1"/>
    <x v="207"/>
    <x v="1"/>
    <n v="5"/>
    <x v="2"/>
    <x v="1"/>
    <s v="-"/>
    <x v="1"/>
    <n v="0"/>
    <n v="1"/>
    <n v="4"/>
  </r>
  <r>
    <x v="209"/>
    <s v="Xavier Almeida"/>
    <x v="0"/>
    <x v="208"/>
    <x v="0"/>
    <n v="15"/>
    <x v="0"/>
    <x v="0"/>
    <n v="30"/>
    <x v="0"/>
    <n v="20"/>
    <n v="15"/>
    <n v="50"/>
  </r>
  <r>
    <x v="210"/>
    <s v="Yasmine Correia"/>
    <x v="2"/>
    <x v="209"/>
    <x v="1"/>
    <n v="10"/>
    <x v="0"/>
    <x v="1"/>
    <s v="-"/>
    <x v="0"/>
    <n v="20"/>
    <n v="5"/>
    <n v="25"/>
  </r>
  <r>
    <x v="211"/>
    <s v="Zacarias Almeida"/>
    <x v="1"/>
    <x v="210"/>
    <x v="0"/>
    <n v="5"/>
    <x v="1"/>
    <x v="1"/>
    <s v="-"/>
    <x v="1"/>
    <n v="0"/>
    <n v="0"/>
    <n v="5"/>
  </r>
  <r>
    <x v="212"/>
    <s v="Amanda Costa"/>
    <x v="0"/>
    <x v="211"/>
    <x v="1"/>
    <n v="15"/>
    <x v="2"/>
    <x v="0"/>
    <n v="30"/>
    <x v="0"/>
    <n v="20"/>
    <n v="20"/>
    <n v="45"/>
  </r>
  <r>
    <x v="213"/>
    <s v="Bruno Ferreira"/>
    <x v="2"/>
    <x v="212"/>
    <x v="0"/>
    <n v="10"/>
    <x v="2"/>
    <x v="1"/>
    <s v="-"/>
    <x v="0"/>
    <n v="20"/>
    <n v="12"/>
    <n v="18"/>
  </r>
  <r>
    <x v="214"/>
    <s v="Carla Dias"/>
    <x v="1"/>
    <x v="213"/>
    <x v="1"/>
    <n v="5"/>
    <x v="0"/>
    <x v="1"/>
    <s v="-"/>
    <x v="1"/>
    <n v="0"/>
    <n v="2"/>
    <n v="3"/>
  </r>
  <r>
    <x v="215"/>
    <s v="Diogo Martins"/>
    <x v="0"/>
    <x v="214"/>
    <x v="0"/>
    <n v="15"/>
    <x v="1"/>
    <x v="0"/>
    <n v="30"/>
    <x v="0"/>
    <n v="20"/>
    <n v="5"/>
    <n v="60"/>
  </r>
  <r>
    <x v="216"/>
    <s v="Elisa Campos"/>
    <x v="2"/>
    <x v="215"/>
    <x v="1"/>
    <n v="10"/>
    <x v="0"/>
    <x v="1"/>
    <s v="-"/>
    <x v="0"/>
    <n v="20"/>
    <n v="10"/>
    <n v="20"/>
  </r>
  <r>
    <x v="217"/>
    <s v="Fabiana Lima"/>
    <x v="1"/>
    <x v="216"/>
    <x v="0"/>
    <n v="5"/>
    <x v="2"/>
    <x v="1"/>
    <s v="-"/>
    <x v="1"/>
    <n v="0"/>
    <n v="0"/>
    <n v="5"/>
  </r>
  <r>
    <x v="218"/>
    <s v="Gabriel Santos"/>
    <x v="0"/>
    <x v="217"/>
    <x v="1"/>
    <n v="15"/>
    <x v="0"/>
    <x v="0"/>
    <n v="30"/>
    <x v="0"/>
    <n v="20"/>
    <n v="3"/>
    <n v="62"/>
  </r>
  <r>
    <x v="219"/>
    <s v="Helena Ferreira"/>
    <x v="2"/>
    <x v="218"/>
    <x v="0"/>
    <n v="10"/>
    <x v="1"/>
    <x v="1"/>
    <s v="-"/>
    <x v="0"/>
    <n v="20"/>
    <n v="15"/>
    <n v="15"/>
  </r>
  <r>
    <x v="220"/>
    <s v="Ígor Nunes"/>
    <x v="1"/>
    <x v="219"/>
    <x v="1"/>
    <n v="5"/>
    <x v="0"/>
    <x v="1"/>
    <s v="-"/>
    <x v="1"/>
    <n v="0"/>
    <n v="1"/>
    <n v="4"/>
  </r>
  <r>
    <x v="221"/>
    <s v="Joana Silveira"/>
    <x v="0"/>
    <x v="220"/>
    <x v="0"/>
    <n v="15"/>
    <x v="2"/>
    <x v="0"/>
    <n v="30"/>
    <x v="0"/>
    <n v="20"/>
    <n v="7"/>
    <n v="58"/>
  </r>
  <r>
    <x v="222"/>
    <s v="Kléber Oliveira"/>
    <x v="2"/>
    <x v="221"/>
    <x v="1"/>
    <n v="10"/>
    <x v="0"/>
    <x v="1"/>
    <s v="-"/>
    <x v="0"/>
    <n v="20"/>
    <n v="10"/>
    <n v="20"/>
  </r>
  <r>
    <x v="223"/>
    <s v="Luciana Morais"/>
    <x v="1"/>
    <x v="222"/>
    <x v="0"/>
    <n v="5"/>
    <x v="1"/>
    <x v="1"/>
    <s v="-"/>
    <x v="1"/>
    <n v="0"/>
    <n v="0"/>
    <n v="5"/>
  </r>
  <r>
    <x v="224"/>
    <s v="Marcos Vinícius"/>
    <x v="0"/>
    <x v="223"/>
    <x v="1"/>
    <n v="15"/>
    <x v="0"/>
    <x v="0"/>
    <n v="30"/>
    <x v="0"/>
    <n v="20"/>
    <n v="20"/>
    <n v="45"/>
  </r>
  <r>
    <x v="225"/>
    <s v="Natália Barros"/>
    <x v="2"/>
    <x v="224"/>
    <x v="0"/>
    <n v="10"/>
    <x v="2"/>
    <x v="1"/>
    <s v="-"/>
    <x v="0"/>
    <n v="20"/>
    <n v="15"/>
    <n v="15"/>
  </r>
  <r>
    <x v="226"/>
    <s v="Oscar Sampaio"/>
    <x v="1"/>
    <x v="225"/>
    <x v="1"/>
    <n v="5"/>
    <x v="0"/>
    <x v="1"/>
    <s v="-"/>
    <x v="1"/>
    <n v="0"/>
    <n v="1"/>
    <n v="4"/>
  </r>
  <r>
    <x v="227"/>
    <s v="Patrícia Leite"/>
    <x v="0"/>
    <x v="226"/>
    <x v="0"/>
    <n v="15"/>
    <x v="1"/>
    <x v="0"/>
    <n v="30"/>
    <x v="0"/>
    <n v="20"/>
    <n v="3"/>
    <n v="62"/>
  </r>
  <r>
    <x v="228"/>
    <s v="Quênia Rocha"/>
    <x v="2"/>
    <x v="227"/>
    <x v="1"/>
    <n v="10"/>
    <x v="0"/>
    <x v="1"/>
    <s v="-"/>
    <x v="0"/>
    <n v="20"/>
    <n v="10"/>
    <n v="20"/>
  </r>
  <r>
    <x v="229"/>
    <s v="Rafael Torres"/>
    <x v="1"/>
    <x v="228"/>
    <x v="0"/>
    <n v="5"/>
    <x v="2"/>
    <x v="1"/>
    <s v="-"/>
    <x v="1"/>
    <n v="0"/>
    <n v="0"/>
    <n v="5"/>
  </r>
  <r>
    <x v="230"/>
    <s v="Sandra Gouveia"/>
    <x v="0"/>
    <x v="229"/>
    <x v="1"/>
    <n v="15"/>
    <x v="0"/>
    <x v="0"/>
    <n v="30"/>
    <x v="0"/>
    <n v="20"/>
    <n v="15"/>
    <n v="50"/>
  </r>
  <r>
    <x v="231"/>
    <s v="Tiago Lacerda"/>
    <x v="2"/>
    <x v="230"/>
    <x v="0"/>
    <n v="10"/>
    <x v="1"/>
    <x v="1"/>
    <s v="-"/>
    <x v="0"/>
    <n v="20"/>
    <n v="15"/>
    <n v="15"/>
  </r>
  <r>
    <x v="232"/>
    <s v="Ursula Fonseca"/>
    <x v="1"/>
    <x v="231"/>
    <x v="1"/>
    <n v="5"/>
    <x v="0"/>
    <x v="1"/>
    <s v="-"/>
    <x v="1"/>
    <n v="0"/>
    <n v="1"/>
    <n v="4"/>
  </r>
  <r>
    <x v="233"/>
    <s v="Vanessa Andrade"/>
    <x v="0"/>
    <x v="232"/>
    <x v="0"/>
    <n v="15"/>
    <x v="2"/>
    <x v="0"/>
    <n v="30"/>
    <x v="0"/>
    <n v="20"/>
    <n v="7"/>
    <n v="58"/>
  </r>
  <r>
    <x v="234"/>
    <s v="William Castro"/>
    <x v="2"/>
    <x v="233"/>
    <x v="1"/>
    <n v="10"/>
    <x v="0"/>
    <x v="1"/>
    <s v="-"/>
    <x v="0"/>
    <n v="20"/>
    <n v="10"/>
    <n v="20"/>
  </r>
  <r>
    <x v="235"/>
    <s v="Xavier Monteiro"/>
    <x v="1"/>
    <x v="234"/>
    <x v="0"/>
    <n v="5"/>
    <x v="1"/>
    <x v="1"/>
    <s v="-"/>
    <x v="1"/>
    <n v="0"/>
    <n v="0"/>
    <n v="5"/>
  </r>
  <r>
    <x v="236"/>
    <s v="Yasmin Figueira"/>
    <x v="0"/>
    <x v="235"/>
    <x v="1"/>
    <n v="15"/>
    <x v="0"/>
    <x v="0"/>
    <n v="30"/>
    <x v="0"/>
    <n v="20"/>
    <n v="15"/>
    <n v="50"/>
  </r>
  <r>
    <x v="237"/>
    <s v="Zacarias Mendonça"/>
    <x v="2"/>
    <x v="236"/>
    <x v="0"/>
    <n v="10"/>
    <x v="2"/>
    <x v="1"/>
    <s v="-"/>
    <x v="0"/>
    <n v="20"/>
    <n v="12"/>
    <n v="18"/>
  </r>
  <r>
    <x v="238"/>
    <s v="Amanda Menezes"/>
    <x v="1"/>
    <x v="237"/>
    <x v="1"/>
    <n v="5"/>
    <x v="0"/>
    <x v="1"/>
    <s v="-"/>
    <x v="1"/>
    <n v="0"/>
    <n v="2"/>
    <n v="3"/>
  </r>
  <r>
    <x v="239"/>
    <s v="Bruno Santos"/>
    <x v="0"/>
    <x v="238"/>
    <x v="0"/>
    <n v="15"/>
    <x v="1"/>
    <x v="0"/>
    <n v="30"/>
    <x v="0"/>
    <n v="20"/>
    <n v="5"/>
    <n v="60"/>
  </r>
  <r>
    <x v="240"/>
    <s v="Carla Ferreira"/>
    <x v="2"/>
    <x v="239"/>
    <x v="1"/>
    <n v="10"/>
    <x v="0"/>
    <x v="1"/>
    <s v="-"/>
    <x v="0"/>
    <n v="20"/>
    <n v="10"/>
    <n v="20"/>
  </r>
  <r>
    <x v="241"/>
    <s v="Diogo Alves"/>
    <x v="1"/>
    <x v="240"/>
    <x v="0"/>
    <n v="5"/>
    <x v="2"/>
    <x v="1"/>
    <s v="-"/>
    <x v="1"/>
    <n v="0"/>
    <n v="0"/>
    <n v="5"/>
  </r>
  <r>
    <x v="242"/>
    <s v="Elisa Neves"/>
    <x v="0"/>
    <x v="241"/>
    <x v="1"/>
    <n v="15"/>
    <x v="0"/>
    <x v="0"/>
    <n v="30"/>
    <x v="0"/>
    <n v="20"/>
    <n v="3"/>
    <n v="62"/>
  </r>
  <r>
    <x v="243"/>
    <s v="Fabiano Pires"/>
    <x v="2"/>
    <x v="242"/>
    <x v="0"/>
    <n v="10"/>
    <x v="1"/>
    <x v="1"/>
    <s v="-"/>
    <x v="0"/>
    <n v="20"/>
    <n v="15"/>
    <n v="15"/>
  </r>
  <r>
    <x v="244"/>
    <s v="Giovana Ribeiro"/>
    <x v="1"/>
    <x v="243"/>
    <x v="1"/>
    <n v="5"/>
    <x v="0"/>
    <x v="1"/>
    <s v="-"/>
    <x v="1"/>
    <n v="0"/>
    <n v="1"/>
    <n v="4"/>
  </r>
  <r>
    <x v="245"/>
    <s v="Hélio Costa"/>
    <x v="0"/>
    <x v="244"/>
    <x v="0"/>
    <n v="15"/>
    <x v="2"/>
    <x v="0"/>
    <n v="30"/>
    <x v="0"/>
    <n v="20"/>
    <n v="7"/>
    <n v="58"/>
  </r>
  <r>
    <x v="246"/>
    <s v="Íris Loureiro"/>
    <x v="2"/>
    <x v="245"/>
    <x v="1"/>
    <n v="10"/>
    <x v="0"/>
    <x v="1"/>
    <s v="-"/>
    <x v="0"/>
    <n v="20"/>
    <n v="10"/>
    <n v="20"/>
  </r>
  <r>
    <x v="247"/>
    <s v="João Pereira"/>
    <x v="1"/>
    <x v="246"/>
    <x v="0"/>
    <n v="5"/>
    <x v="1"/>
    <x v="1"/>
    <s v="-"/>
    <x v="1"/>
    <n v="0"/>
    <n v="0"/>
    <n v="5"/>
  </r>
  <r>
    <x v="248"/>
    <s v="Klara Silva"/>
    <x v="0"/>
    <x v="247"/>
    <x v="1"/>
    <n v="15"/>
    <x v="0"/>
    <x v="0"/>
    <n v="30"/>
    <x v="0"/>
    <n v="20"/>
    <n v="20"/>
    <n v="45"/>
  </r>
  <r>
    <x v="249"/>
    <s v="Luciana Barros"/>
    <x v="2"/>
    <x v="248"/>
    <x v="0"/>
    <n v="10"/>
    <x v="2"/>
    <x v="1"/>
    <s v="-"/>
    <x v="0"/>
    <n v="20"/>
    <n v="15"/>
    <n v="15"/>
  </r>
  <r>
    <x v="250"/>
    <s v="Marcos Gomes"/>
    <x v="1"/>
    <x v="249"/>
    <x v="1"/>
    <n v="5"/>
    <x v="0"/>
    <x v="1"/>
    <s v="-"/>
    <x v="1"/>
    <n v="0"/>
    <n v="1"/>
    <n v="4"/>
  </r>
  <r>
    <x v="251"/>
    <s v="Natália Soares"/>
    <x v="0"/>
    <x v="250"/>
    <x v="0"/>
    <n v="15"/>
    <x v="1"/>
    <x v="0"/>
    <n v="30"/>
    <x v="0"/>
    <n v="20"/>
    <n v="3"/>
    <n v="62"/>
  </r>
  <r>
    <x v="252"/>
    <s v="Oscar Machado"/>
    <x v="2"/>
    <x v="251"/>
    <x v="1"/>
    <n v="10"/>
    <x v="0"/>
    <x v="1"/>
    <s v="-"/>
    <x v="0"/>
    <n v="20"/>
    <n v="10"/>
    <n v="20"/>
  </r>
  <r>
    <x v="253"/>
    <s v="Patrícia Lima"/>
    <x v="1"/>
    <x v="252"/>
    <x v="0"/>
    <n v="5"/>
    <x v="2"/>
    <x v="1"/>
    <s v="-"/>
    <x v="1"/>
    <n v="0"/>
    <n v="0"/>
    <n v="5"/>
  </r>
  <r>
    <x v="254"/>
    <s v="Quirino Neto"/>
    <x v="0"/>
    <x v="253"/>
    <x v="1"/>
    <n v="15"/>
    <x v="0"/>
    <x v="0"/>
    <n v="30"/>
    <x v="0"/>
    <n v="20"/>
    <n v="15"/>
    <n v="50"/>
  </r>
  <r>
    <x v="255"/>
    <s v="Rafaela Souza"/>
    <x v="1"/>
    <x v="254"/>
    <x v="0"/>
    <n v="5"/>
    <x v="0"/>
    <x v="1"/>
    <s v="-"/>
    <x v="1"/>
    <n v="0"/>
    <n v="0"/>
    <n v="5"/>
  </r>
  <r>
    <x v="256"/>
    <s v="Sandro Almeida"/>
    <x v="0"/>
    <x v="255"/>
    <x v="1"/>
    <n v="15"/>
    <x v="2"/>
    <x v="0"/>
    <n v="30"/>
    <x v="0"/>
    <n v="20"/>
    <n v="7"/>
    <n v="58"/>
  </r>
  <r>
    <x v="257"/>
    <s v="Tânia Ribeiro"/>
    <x v="2"/>
    <x v="256"/>
    <x v="0"/>
    <n v="10"/>
    <x v="1"/>
    <x v="1"/>
    <s v="-"/>
    <x v="0"/>
    <n v="20"/>
    <n v="10"/>
    <n v="20"/>
  </r>
  <r>
    <x v="258"/>
    <s v="Ugo Dias"/>
    <x v="1"/>
    <x v="257"/>
    <x v="1"/>
    <n v="5"/>
    <x v="2"/>
    <x v="1"/>
    <s v="-"/>
    <x v="1"/>
    <n v="0"/>
    <n v="1"/>
    <n v="4"/>
  </r>
  <r>
    <x v="259"/>
    <s v="Valéria Lima"/>
    <x v="0"/>
    <x v="258"/>
    <x v="0"/>
    <n v="15"/>
    <x v="0"/>
    <x v="0"/>
    <n v="30"/>
    <x v="0"/>
    <n v="20"/>
    <n v="15"/>
    <n v="50"/>
  </r>
  <r>
    <x v="260"/>
    <s v="William Fernandes"/>
    <x v="2"/>
    <x v="259"/>
    <x v="1"/>
    <n v="10"/>
    <x v="0"/>
    <x v="1"/>
    <s v="-"/>
    <x v="0"/>
    <n v="20"/>
    <n v="5"/>
    <n v="25"/>
  </r>
  <r>
    <x v="261"/>
    <s v="Xuxa Mendes"/>
    <x v="1"/>
    <x v="260"/>
    <x v="0"/>
    <n v="5"/>
    <x v="1"/>
    <x v="1"/>
    <s v="-"/>
    <x v="1"/>
    <n v="0"/>
    <n v="0"/>
    <n v="5"/>
  </r>
  <r>
    <x v="262"/>
    <s v="Ygor Farias"/>
    <x v="0"/>
    <x v="261"/>
    <x v="1"/>
    <n v="15"/>
    <x v="2"/>
    <x v="0"/>
    <n v="30"/>
    <x v="0"/>
    <n v="20"/>
    <n v="20"/>
    <n v="45"/>
  </r>
  <r>
    <x v="263"/>
    <s v="Zilda Barros"/>
    <x v="2"/>
    <x v="262"/>
    <x v="0"/>
    <n v="10"/>
    <x v="2"/>
    <x v="1"/>
    <s v="-"/>
    <x v="0"/>
    <n v="20"/>
    <n v="12"/>
    <n v="18"/>
  </r>
  <r>
    <x v="264"/>
    <s v="Amanda Santos"/>
    <x v="1"/>
    <x v="263"/>
    <x v="1"/>
    <n v="5"/>
    <x v="0"/>
    <x v="1"/>
    <s v="-"/>
    <x v="1"/>
    <n v="0"/>
    <n v="2"/>
    <n v="3"/>
  </r>
  <r>
    <x v="265"/>
    <s v="Bruno Costa"/>
    <x v="0"/>
    <x v="264"/>
    <x v="0"/>
    <n v="15"/>
    <x v="1"/>
    <x v="0"/>
    <n v="30"/>
    <x v="0"/>
    <n v="20"/>
    <n v="5"/>
    <n v="60"/>
  </r>
  <r>
    <x v="266"/>
    <s v="Carla Rodrigues"/>
    <x v="2"/>
    <x v="265"/>
    <x v="1"/>
    <n v="10"/>
    <x v="0"/>
    <x v="1"/>
    <s v="-"/>
    <x v="0"/>
    <n v="20"/>
    <n v="10"/>
    <n v="20"/>
  </r>
  <r>
    <x v="267"/>
    <s v="Diogo Pereira"/>
    <x v="1"/>
    <x v="266"/>
    <x v="0"/>
    <n v="5"/>
    <x v="2"/>
    <x v="1"/>
    <s v="-"/>
    <x v="1"/>
    <n v="0"/>
    <n v="0"/>
    <n v="5"/>
  </r>
  <r>
    <x v="268"/>
    <s v="Elisa Correia"/>
    <x v="0"/>
    <x v="267"/>
    <x v="1"/>
    <n v="15"/>
    <x v="0"/>
    <x v="0"/>
    <n v="30"/>
    <x v="0"/>
    <n v="20"/>
    <n v="3"/>
    <n v="62"/>
  </r>
  <r>
    <x v="269"/>
    <s v="Fábio Lourenço"/>
    <x v="2"/>
    <x v="268"/>
    <x v="0"/>
    <n v="10"/>
    <x v="1"/>
    <x v="1"/>
    <s v="-"/>
    <x v="0"/>
    <n v="20"/>
    <n v="15"/>
    <n v="15"/>
  </r>
  <r>
    <x v="270"/>
    <s v="Gabriela Neves"/>
    <x v="1"/>
    <x v="269"/>
    <x v="1"/>
    <n v="5"/>
    <x v="0"/>
    <x v="1"/>
    <s v="-"/>
    <x v="1"/>
    <n v="0"/>
    <n v="1"/>
    <n v="4"/>
  </r>
  <r>
    <x v="271"/>
    <s v="Henrique Gonçalves"/>
    <x v="0"/>
    <x v="270"/>
    <x v="0"/>
    <n v="15"/>
    <x v="2"/>
    <x v="0"/>
    <n v="30"/>
    <x v="0"/>
    <n v="20"/>
    <n v="7"/>
    <n v="58"/>
  </r>
  <r>
    <x v="272"/>
    <s v="Íris Santos"/>
    <x v="2"/>
    <x v="271"/>
    <x v="1"/>
    <n v="10"/>
    <x v="0"/>
    <x v="1"/>
    <s v="-"/>
    <x v="0"/>
    <n v="20"/>
    <n v="10"/>
    <n v="20"/>
  </r>
  <r>
    <x v="273"/>
    <s v="João Marcelo Alves"/>
    <x v="1"/>
    <x v="272"/>
    <x v="0"/>
    <n v="5"/>
    <x v="1"/>
    <x v="1"/>
    <s v="-"/>
    <x v="1"/>
    <n v="0"/>
    <n v="0"/>
    <n v="5"/>
  </r>
  <r>
    <x v="274"/>
    <s v="Klara Fonseca"/>
    <x v="0"/>
    <x v="273"/>
    <x v="1"/>
    <n v="15"/>
    <x v="0"/>
    <x v="0"/>
    <n v="30"/>
    <x v="0"/>
    <n v="20"/>
    <n v="20"/>
    <n v="45"/>
  </r>
  <r>
    <x v="275"/>
    <s v="Lucas Mendonça"/>
    <x v="2"/>
    <x v="274"/>
    <x v="0"/>
    <n v="10"/>
    <x v="2"/>
    <x v="1"/>
    <s v="-"/>
    <x v="0"/>
    <n v="20"/>
    <n v="15"/>
    <n v="15"/>
  </r>
  <r>
    <x v="276"/>
    <s v="Marcela Torres"/>
    <x v="1"/>
    <x v="275"/>
    <x v="1"/>
    <n v="5"/>
    <x v="0"/>
    <x v="1"/>
    <s v="-"/>
    <x v="1"/>
    <n v="0"/>
    <n v="1"/>
    <n v="4"/>
  </r>
  <r>
    <x v="277"/>
    <s v="Natália Castro"/>
    <x v="0"/>
    <x v="276"/>
    <x v="0"/>
    <n v="15"/>
    <x v="1"/>
    <x v="0"/>
    <n v="30"/>
    <x v="0"/>
    <n v="20"/>
    <n v="3"/>
    <n v="62"/>
  </r>
  <r>
    <x v="278"/>
    <s v="Oscar Martins"/>
    <x v="2"/>
    <x v="277"/>
    <x v="1"/>
    <n v="10"/>
    <x v="0"/>
    <x v="1"/>
    <s v="-"/>
    <x v="0"/>
    <n v="20"/>
    <n v="10"/>
    <n v="20"/>
  </r>
  <r>
    <x v="279"/>
    <s v="Patrícia Oliveira"/>
    <x v="1"/>
    <x v="278"/>
    <x v="0"/>
    <n v="5"/>
    <x v="2"/>
    <x v="1"/>
    <s v="-"/>
    <x v="1"/>
    <n v="0"/>
    <n v="0"/>
    <n v="5"/>
  </r>
  <r>
    <x v="280"/>
    <s v="Quentin Nogueira"/>
    <x v="0"/>
    <x v="279"/>
    <x v="1"/>
    <n v="15"/>
    <x v="0"/>
    <x v="0"/>
    <n v="30"/>
    <x v="0"/>
    <n v="20"/>
    <n v="15"/>
    <n v="50"/>
  </r>
  <r>
    <x v="281"/>
    <s v="Raquel Silva"/>
    <x v="2"/>
    <x v="280"/>
    <x v="0"/>
    <n v="10"/>
    <x v="1"/>
    <x v="1"/>
    <s v="-"/>
    <x v="0"/>
    <n v="20"/>
    <n v="15"/>
    <n v="15"/>
  </r>
  <r>
    <x v="282"/>
    <s v="Sandro Gomes"/>
    <x v="1"/>
    <x v="281"/>
    <x v="1"/>
    <n v="5"/>
    <x v="0"/>
    <x v="1"/>
    <s v="-"/>
    <x v="1"/>
    <n v="0"/>
    <n v="1"/>
    <n v="4"/>
  </r>
  <r>
    <x v="283"/>
    <s v="Tânia Machado"/>
    <x v="0"/>
    <x v="282"/>
    <x v="0"/>
    <n v="15"/>
    <x v="2"/>
    <x v="0"/>
    <n v="30"/>
    <x v="0"/>
    <n v="20"/>
    <n v="7"/>
    <n v="58"/>
  </r>
  <r>
    <x v="284"/>
    <s v="Ursula Silva"/>
    <x v="2"/>
    <x v="283"/>
    <x v="1"/>
    <n v="10"/>
    <x v="0"/>
    <x v="1"/>
    <s v="-"/>
    <x v="0"/>
    <n v="20"/>
    <n v="10"/>
    <n v="20"/>
  </r>
  <r>
    <x v="285"/>
    <s v="Vanessa Moraes"/>
    <x v="1"/>
    <x v="284"/>
    <x v="0"/>
    <n v="5"/>
    <x v="1"/>
    <x v="1"/>
    <s v="-"/>
    <x v="1"/>
    <n v="0"/>
    <n v="0"/>
    <n v="5"/>
  </r>
  <r>
    <x v="286"/>
    <s v="William Carvalho"/>
    <x v="0"/>
    <x v="285"/>
    <x v="1"/>
    <n v="15"/>
    <x v="0"/>
    <x v="0"/>
    <n v="30"/>
    <x v="0"/>
    <n v="20"/>
    <n v="20"/>
    <n v="45"/>
  </r>
  <r>
    <x v="287"/>
    <s v="Xavier Reis"/>
    <x v="2"/>
    <x v="286"/>
    <x v="0"/>
    <n v="10"/>
    <x v="2"/>
    <x v="1"/>
    <s v="-"/>
    <x v="0"/>
    <n v="20"/>
    <n v="12"/>
    <n v="18"/>
  </r>
  <r>
    <x v="288"/>
    <s v="Yasmin Rocha"/>
    <x v="1"/>
    <x v="287"/>
    <x v="1"/>
    <n v="5"/>
    <x v="0"/>
    <x v="1"/>
    <s v="-"/>
    <x v="1"/>
    <n v="0"/>
    <n v="2"/>
    <n v="3"/>
  </r>
  <r>
    <x v="289"/>
    <s v="Zacarias Duarte"/>
    <x v="0"/>
    <x v="288"/>
    <x v="0"/>
    <n v="15"/>
    <x v="1"/>
    <x v="0"/>
    <n v="30"/>
    <x v="0"/>
    <n v="20"/>
    <n v="5"/>
    <n v="60"/>
  </r>
  <r>
    <x v="290"/>
    <s v="Amanda Freitas"/>
    <x v="2"/>
    <x v="289"/>
    <x v="1"/>
    <n v="10"/>
    <x v="0"/>
    <x v="1"/>
    <s v="-"/>
    <x v="0"/>
    <n v="20"/>
    <n v="10"/>
    <n v="20"/>
  </r>
  <r>
    <x v="291"/>
    <s v="Bruno Almeida"/>
    <x v="1"/>
    <x v="290"/>
    <x v="0"/>
    <n v="5"/>
    <x v="2"/>
    <x v="1"/>
    <s v="-"/>
    <x v="1"/>
    <n v="0"/>
    <n v="0"/>
    <n v="5"/>
  </r>
  <r>
    <x v="292"/>
    <s v="Carla Siqueira"/>
    <x v="0"/>
    <x v="291"/>
    <x v="1"/>
    <n v="15"/>
    <x v="0"/>
    <x v="0"/>
    <n v="30"/>
    <x v="0"/>
    <n v="20"/>
    <n v="3"/>
    <n v="62"/>
  </r>
  <r>
    <x v="293"/>
    <s v="Diogo Ramos"/>
    <x v="2"/>
    <x v="292"/>
    <x v="0"/>
    <n v="10"/>
    <x v="1"/>
    <x v="1"/>
    <s v="-"/>
    <x v="0"/>
    <n v="20"/>
    <n v="15"/>
    <n v="15"/>
  </r>
  <r>
    <x v="294"/>
    <s v="Elisa Magalhães"/>
    <x v="1"/>
    <x v="293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38543-0942-466E-8008-56A88D1B7E81}" name="Tabela dinâmica4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0" rowHeaderCaption="Rótulos de Linha">
  <location ref="F23:G27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>
      <items count="3">
        <item sd="0" x="1"/>
        <item sd="0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5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6D889-4404-4900-B525-291AC8A2B019}" name="Tabela dinâmica1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C10:D14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4C770-498C-42F9-9F69-77531D4C5729}" name="Tabela dinâmica5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C17:D20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EDC94-20DD-4A26-A532-C73D75475107}" name="Tabela dinâmica3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I10:J13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A8DC7-F658-4AFF-ACCB-2B3CD068CEF0}" name="Tabela dinâmica6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4" rowHeaderCaption="Rótulos de Linha">
  <location ref="F17:G20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showAll="0">
      <items count="3">
        <item sd="0" x="1"/>
        <item sd="0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9"/>
    <field x="7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3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EDDAE-06F0-4F10-9CBE-DB22CAFF8712}" name="Tabela dinâmica2" cacheId="1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23">
  <location ref="F10:G13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589C1-1B04-4957-9E75-40FE20D4928A}" name="Tabela dinâmica10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rowHeaderCaption="Rótulos de Linha">
  <location ref="I17:I18" firstHeaderRow="1" firstDataRow="1" firstDataCol="0"/>
  <pivotFields count="15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>
      <items count="3">
        <item sd="0" x="1"/>
        <item sd="0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44" showAll="0"/>
    <pivotField numFmtId="44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Contagem de Subscrib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FB5E1-6C04-4B45-BFEB-3E28A6DFF850}" name="Tabela dinâmica8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9">
  <location ref="C23:D40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3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5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3E7EE57-03AD-4ABF-9913-C2B8F80BA9EA}" sourceName="Subscription Type">
  <pivotTables>
    <pivotTable tabId="3" name="Tabela dinâmica1"/>
    <pivotTable tabId="3" name="Tabela dinâmica10"/>
    <pivotTable tabId="3" name="Tabela dinâmica2"/>
    <pivotTable tabId="3" name="Tabela dinâmica3"/>
    <pivotTable tabId="3" name="Tabela dinâmica4"/>
    <pivotTable tabId="3" name="Tabela dinâmica5"/>
    <pivotTable tabId="3" name="Tabela dinâmica6"/>
    <pivotTable tabId="3" name="Tabela dinâmica8"/>
  </pivotTables>
  <data>
    <tabular pivotCacheId="1771455723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896A068A-A38C-495F-86F7-0A5346045D01}" sourceName="Plan">
  <pivotTables>
    <pivotTable tabId="3" name="Tabela dinâmica4"/>
    <pivotTable tabId="3" name="Tabela dinâmica1"/>
    <pivotTable tabId="3" name="Tabela dinâmica10"/>
    <pivotTable tabId="3" name="Tabela dinâmica2"/>
    <pivotTable tabId="3" name="Tabela dinâmica3"/>
    <pivotTable tabId="3" name="Tabela dinâmica5"/>
    <pivotTable tabId="3" name="Tabela dinâmica6"/>
    <pivotTable tabId="3" name="Tabela dinâmica8"/>
  </pivotTables>
  <data>
    <tabular pivotCacheId="1771455723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3AD0216-13C3-4CAF-9365-796BF248E5F8}" cache="SegmentaçãodeDados_Subscription_Type" caption="Subscription Type" style="SlicerStyleLight3" rowHeight="257175"/>
  <slicer name="Plan" xr10:uid="{B1129D7A-EBB7-44E4-9F33-625E7170AA10}" cache="SegmentaçãodeDados_Plan" caption="Plan Type" style="SlicerStyleLight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/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E6C51E-D0EE-4A47-B31E-2E5938FF4817}" name="Tabela3" displayName="Tabela3" ref="K1:L4" totalsRowShown="0">
  <autoFilter ref="K1:L4" xr:uid="{0EE6C51E-D0EE-4A47-B31E-2E5938FF4817}"/>
  <tableColumns count="2">
    <tableColumn id="1" xr3:uid="{C711EF49-61F7-431D-AAD0-F09006F034BE}" name="totais" dataDxfId="1"/>
    <tableColumn id="2" xr3:uid="{9AAABD90-3F09-4CB0-9DA3-C14DB8C69A2F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tart_Date" xr10:uid="{4C09605C-D77D-4DCB-81CB-E5D4FF869785}" sourceName="Start Date">
  <pivotTables>
    <pivotTable tabId="3" name="Tabela dinâmica8"/>
    <pivotTable tabId="3" name="Tabela dinâmica1"/>
    <pivotTable tabId="3" name="Tabela dinâmica10"/>
    <pivotTable tabId="3" name="Tabela dinâmica2"/>
    <pivotTable tabId="3" name="Tabela dinâmica3"/>
    <pivotTable tabId="3" name="Tabela dinâmica4"/>
    <pivotTable tabId="3" name="Tabela dinâmica5"/>
    <pivotTable tabId="3" name="Tabela dinâmica6"/>
  </pivotTables>
  <state minimalRefreshVersion="6" lastRefreshVersion="6" pivotCacheId="1771455723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tart Date" xr10:uid="{C8C2E790-074C-479E-818B-BFD7AEB2BDF4}" cache="NativeTimeline_Start_Date" caption="Start Date" showSelectionLabel="0" showHorizontalScrollbar="0" level="2" selectionLevel="2" scrollPosition="2024-01-01T00:00:00" style="TimeSlicerStyleLight3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85" zoomScaleNormal="85"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conditionalFormatting sqref="A2:A296">
    <cfRule type="duplicateValues" dxfId="2" priority="2"/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L40"/>
  <sheetViews>
    <sheetView showGridLines="0" topLeftCell="A7" zoomScale="85" zoomScaleNormal="85" workbookViewId="0">
      <selection activeCell="C25" sqref="C25"/>
    </sheetView>
  </sheetViews>
  <sheetFormatPr defaultRowHeight="15" x14ac:dyDescent="0.25"/>
  <cols>
    <col min="1" max="1" width="4.28515625" style="16" customWidth="1"/>
    <col min="2" max="2" width="39.28515625" style="18" customWidth="1"/>
    <col min="3" max="3" width="18.42578125" bestFit="1" customWidth="1"/>
    <col min="4" max="4" width="19.28515625" bestFit="1" customWidth="1"/>
    <col min="5" max="5" width="1" customWidth="1"/>
    <col min="6" max="6" width="18.42578125" bestFit="1" customWidth="1"/>
    <col min="7" max="7" width="19.28515625" bestFit="1" customWidth="1"/>
    <col min="8" max="8" width="1" customWidth="1"/>
    <col min="9" max="9" width="18.42578125" bestFit="1" customWidth="1"/>
    <col min="10" max="10" width="19.28515625" bestFit="1" customWidth="1"/>
    <col min="11" max="11" width="23" customWidth="1"/>
    <col min="12" max="12" width="12.28515625" style="31" bestFit="1" customWidth="1"/>
    <col min="13" max="16" width="9.7109375" bestFit="1" customWidth="1"/>
    <col min="17" max="17" width="15.5703125" bestFit="1" customWidth="1"/>
    <col min="18" max="18" width="12.140625" bestFit="1" customWidth="1"/>
  </cols>
  <sheetData>
    <row r="1" spans="1:12" x14ac:dyDescent="0.25">
      <c r="A1" s="15">
        <v>1</v>
      </c>
      <c r="B1" s="17" t="s">
        <v>338</v>
      </c>
      <c r="K1" s="28" t="s">
        <v>356</v>
      </c>
      <c r="L1" s="31" t="s">
        <v>355</v>
      </c>
    </row>
    <row r="2" spans="1:12" x14ac:dyDescent="0.25">
      <c r="A2" s="15">
        <v>2</v>
      </c>
      <c r="B2" s="17" t="s">
        <v>318</v>
      </c>
      <c r="K2" s="29" t="s">
        <v>352</v>
      </c>
      <c r="L2" s="31">
        <f>SUMIFS($D$11:$D$14,$C$11:$C$14,"Total Geral")</f>
        <v>7633</v>
      </c>
    </row>
    <row r="3" spans="1:12" x14ac:dyDescent="0.25">
      <c r="A3" s="15">
        <v>3</v>
      </c>
      <c r="B3" s="17" t="s">
        <v>319</v>
      </c>
      <c r="K3" s="30" t="s">
        <v>353</v>
      </c>
      <c r="L3" s="31">
        <f>SUMIFS($G$24:$G$27,$F$24:$F$27,"Total Geral")</f>
        <v>7633</v>
      </c>
    </row>
    <row r="4" spans="1:12" x14ac:dyDescent="0.25">
      <c r="A4" s="15">
        <v>4</v>
      </c>
      <c r="B4" s="17" t="s">
        <v>320</v>
      </c>
      <c r="K4" s="30" t="s">
        <v>354</v>
      </c>
      <c r="L4" s="31">
        <f>SUMIFS($D$24:$D$40,$C$24:$C$40,"Total Geral")</f>
        <v>7633</v>
      </c>
    </row>
    <row r="5" spans="1:12" x14ac:dyDescent="0.25">
      <c r="A5" s="15">
        <v>5</v>
      </c>
      <c r="B5" s="17" t="s">
        <v>321</v>
      </c>
    </row>
    <row r="6" spans="1:12" x14ac:dyDescent="0.25">
      <c r="A6" s="15">
        <v>6</v>
      </c>
      <c r="B6" s="17" t="s">
        <v>323</v>
      </c>
    </row>
    <row r="7" spans="1:12" x14ac:dyDescent="0.25">
      <c r="A7" s="15">
        <v>7</v>
      </c>
      <c r="B7" s="17" t="s">
        <v>334</v>
      </c>
    </row>
    <row r="8" spans="1:12" x14ac:dyDescent="0.25">
      <c r="A8" s="15">
        <v>8</v>
      </c>
      <c r="B8" s="17" t="s">
        <v>322</v>
      </c>
    </row>
    <row r="9" spans="1:12" s="16" customFormat="1" x14ac:dyDescent="0.25">
      <c r="A9" s="15">
        <v>9</v>
      </c>
      <c r="B9" s="17" t="s">
        <v>317</v>
      </c>
      <c r="C9" s="15" t="s">
        <v>316</v>
      </c>
      <c r="D9" s="15" t="s">
        <v>337</v>
      </c>
      <c r="F9" s="15">
        <v>3</v>
      </c>
      <c r="G9" s="15" t="s">
        <v>324</v>
      </c>
      <c r="I9" s="15">
        <v>4</v>
      </c>
      <c r="J9" s="15" t="s">
        <v>325</v>
      </c>
      <c r="L9" s="31"/>
    </row>
    <row r="10" spans="1:12" x14ac:dyDescent="0.25">
      <c r="C10" s="14" t="s">
        <v>313</v>
      </c>
      <c r="D10" t="s">
        <v>314</v>
      </c>
      <c r="F10" s="14" t="s">
        <v>313</v>
      </c>
      <c r="G10" t="s">
        <v>314</v>
      </c>
      <c r="I10" s="14" t="s">
        <v>313</v>
      </c>
      <c r="J10" t="s">
        <v>314</v>
      </c>
    </row>
    <row r="11" spans="1:12" x14ac:dyDescent="0.25">
      <c r="C11" s="12" t="s">
        <v>24</v>
      </c>
      <c r="D11" s="13">
        <v>1754</v>
      </c>
      <c r="F11" s="12" t="s">
        <v>23</v>
      </c>
      <c r="G11" s="13">
        <v>3847</v>
      </c>
      <c r="I11" s="12" t="s">
        <v>23</v>
      </c>
      <c r="J11" s="13">
        <v>2245</v>
      </c>
    </row>
    <row r="12" spans="1:12" x14ac:dyDescent="0.25">
      <c r="C12" s="12" t="s">
        <v>20</v>
      </c>
      <c r="D12" s="13">
        <v>3571</v>
      </c>
      <c r="F12" s="12" t="s">
        <v>19</v>
      </c>
      <c r="G12" s="13">
        <v>3786</v>
      </c>
      <c r="I12" s="12" t="s">
        <v>19</v>
      </c>
      <c r="J12" s="13">
        <v>5388</v>
      </c>
    </row>
    <row r="13" spans="1:12" x14ac:dyDescent="0.25">
      <c r="C13" s="12" t="s">
        <v>27</v>
      </c>
      <c r="D13" s="13">
        <v>2308</v>
      </c>
      <c r="F13" s="12" t="s">
        <v>315</v>
      </c>
      <c r="G13" s="13">
        <v>7633</v>
      </c>
      <c r="I13" s="12" t="s">
        <v>315</v>
      </c>
      <c r="J13" s="13">
        <v>7633</v>
      </c>
    </row>
    <row r="14" spans="1:12" x14ac:dyDescent="0.25">
      <c r="C14" s="12" t="s">
        <v>315</v>
      </c>
      <c r="D14" s="13">
        <v>7633</v>
      </c>
    </row>
    <row r="15" spans="1:12" ht="5.25" customHeight="1" x14ac:dyDescent="0.25"/>
    <row r="16" spans="1:12" s="16" customFormat="1" x14ac:dyDescent="0.25">
      <c r="B16" s="19"/>
      <c r="C16" s="15">
        <v>5</v>
      </c>
      <c r="D16" s="15" t="s">
        <v>326</v>
      </c>
      <c r="F16" s="15">
        <v>6</v>
      </c>
      <c r="G16" s="15" t="s">
        <v>327</v>
      </c>
      <c r="I16" s="15" t="s">
        <v>335</v>
      </c>
      <c r="L16" s="31"/>
    </row>
    <row r="17" spans="2:12" x14ac:dyDescent="0.25">
      <c r="C17" s="14" t="s">
        <v>313</v>
      </c>
      <c r="D17" t="s">
        <v>314</v>
      </c>
      <c r="F17" s="14" t="s">
        <v>313</v>
      </c>
      <c r="G17" t="s">
        <v>314</v>
      </c>
      <c r="I17" t="s">
        <v>333</v>
      </c>
    </row>
    <row r="18" spans="2:12" x14ac:dyDescent="0.25">
      <c r="C18" s="12" t="s">
        <v>23</v>
      </c>
      <c r="D18" s="13">
        <v>444</v>
      </c>
      <c r="F18" s="12" t="s">
        <v>23</v>
      </c>
      <c r="G18" s="13">
        <v>444</v>
      </c>
      <c r="I18" s="27">
        <v>295</v>
      </c>
    </row>
    <row r="19" spans="2:12" x14ac:dyDescent="0.25">
      <c r="C19" s="12" t="s">
        <v>19</v>
      </c>
      <c r="D19" s="13">
        <v>7189</v>
      </c>
      <c r="F19" s="12" t="s">
        <v>19</v>
      </c>
      <c r="G19" s="13">
        <v>7189</v>
      </c>
    </row>
    <row r="20" spans="2:12" x14ac:dyDescent="0.25">
      <c r="C20" s="12" t="s">
        <v>315</v>
      </c>
      <c r="D20" s="13">
        <v>7633</v>
      </c>
      <c r="F20" s="12" t="s">
        <v>315</v>
      </c>
      <c r="G20" s="13">
        <v>7633</v>
      </c>
    </row>
    <row r="21" spans="2:12" ht="5.25" customHeight="1" x14ac:dyDescent="0.25"/>
    <row r="22" spans="2:12" s="16" customFormat="1" x14ac:dyDescent="0.25">
      <c r="B22" s="19"/>
      <c r="C22" s="15">
        <v>8</v>
      </c>
      <c r="D22" s="15" t="s">
        <v>328</v>
      </c>
      <c r="F22" s="15">
        <v>9</v>
      </c>
      <c r="G22" s="15" t="s">
        <v>348</v>
      </c>
      <c r="L22" s="31"/>
    </row>
    <row r="23" spans="2:12" x14ac:dyDescent="0.25">
      <c r="C23" s="14" t="s">
        <v>313</v>
      </c>
      <c r="D23" t="s">
        <v>314</v>
      </c>
      <c r="F23" s="14" t="s">
        <v>313</v>
      </c>
      <c r="G23" t="s">
        <v>314</v>
      </c>
    </row>
    <row r="24" spans="2:12" x14ac:dyDescent="0.25">
      <c r="C24" s="12" t="s">
        <v>329</v>
      </c>
      <c r="D24" s="13">
        <v>948</v>
      </c>
      <c r="F24" s="12" t="s">
        <v>22</v>
      </c>
      <c r="G24" s="13">
        <v>444</v>
      </c>
    </row>
    <row r="25" spans="2:12" x14ac:dyDescent="0.25">
      <c r="C25" s="26" t="s">
        <v>339</v>
      </c>
      <c r="D25" s="13">
        <v>65</v>
      </c>
      <c r="F25" s="12" t="s">
        <v>26</v>
      </c>
      <c r="G25" s="13">
        <v>1801</v>
      </c>
    </row>
    <row r="26" spans="2:12" x14ac:dyDescent="0.25">
      <c r="C26" s="26" t="s">
        <v>340</v>
      </c>
      <c r="D26" s="13">
        <v>82</v>
      </c>
      <c r="F26" s="12" t="s">
        <v>18</v>
      </c>
      <c r="G26" s="13">
        <v>5388</v>
      </c>
    </row>
    <row r="27" spans="2:12" x14ac:dyDescent="0.25">
      <c r="C27" s="26" t="s">
        <v>341</v>
      </c>
      <c r="D27" s="13">
        <v>801</v>
      </c>
      <c r="F27" s="12" t="s">
        <v>315</v>
      </c>
      <c r="G27" s="13">
        <v>7633</v>
      </c>
    </row>
    <row r="28" spans="2:12" x14ac:dyDescent="0.25">
      <c r="C28" s="12" t="s">
        <v>330</v>
      </c>
      <c r="D28" s="13">
        <v>2329</v>
      </c>
    </row>
    <row r="29" spans="2:12" x14ac:dyDescent="0.25">
      <c r="C29" s="26" t="s">
        <v>342</v>
      </c>
      <c r="D29" s="13">
        <v>782</v>
      </c>
    </row>
    <row r="30" spans="2:12" x14ac:dyDescent="0.25">
      <c r="C30" s="26" t="s">
        <v>343</v>
      </c>
      <c r="D30" s="13">
        <v>777</v>
      </c>
    </row>
    <row r="31" spans="2:12" x14ac:dyDescent="0.25">
      <c r="C31" s="26" t="s">
        <v>344</v>
      </c>
      <c r="D31" s="13">
        <v>770</v>
      </c>
    </row>
    <row r="32" spans="2:12" x14ac:dyDescent="0.25">
      <c r="C32" s="12" t="s">
        <v>331</v>
      </c>
      <c r="D32" s="13">
        <v>2351</v>
      </c>
    </row>
    <row r="33" spans="3:4" x14ac:dyDescent="0.25">
      <c r="C33" s="26" t="s">
        <v>345</v>
      </c>
      <c r="D33" s="13">
        <v>784</v>
      </c>
    </row>
    <row r="34" spans="3:4" x14ac:dyDescent="0.25">
      <c r="C34" s="26" t="s">
        <v>346</v>
      </c>
      <c r="D34" s="13">
        <v>787</v>
      </c>
    </row>
    <row r="35" spans="3:4" x14ac:dyDescent="0.25">
      <c r="C35" s="26" t="s">
        <v>347</v>
      </c>
      <c r="D35" s="13">
        <v>780</v>
      </c>
    </row>
    <row r="36" spans="3:4" x14ac:dyDescent="0.25">
      <c r="C36" s="12" t="s">
        <v>332</v>
      </c>
      <c r="D36" s="13">
        <v>2005</v>
      </c>
    </row>
    <row r="37" spans="3:4" x14ac:dyDescent="0.25">
      <c r="C37" s="26" t="s">
        <v>349</v>
      </c>
      <c r="D37" s="13">
        <v>832</v>
      </c>
    </row>
    <row r="38" spans="3:4" x14ac:dyDescent="0.25">
      <c r="C38" s="26" t="s">
        <v>350</v>
      </c>
      <c r="D38" s="13">
        <v>784</v>
      </c>
    </row>
    <row r="39" spans="3:4" x14ac:dyDescent="0.25">
      <c r="C39" s="26" t="s">
        <v>351</v>
      </c>
      <c r="D39" s="13">
        <v>389</v>
      </c>
    </row>
    <row r="40" spans="3:4" x14ac:dyDescent="0.25">
      <c r="C40" s="12" t="s">
        <v>315</v>
      </c>
      <c r="D40" s="13">
        <v>7633</v>
      </c>
    </row>
  </sheetData>
  <pageMargins left="0.511811024" right="0.511811024" top="0.78740157499999996" bottom="0.78740157499999996" header="0.31496062000000002" footer="0.31496062000000002"/>
  <pageSetup paperSize="9" orientation="portrait" r:id="rId9"/>
  <drawing r:id="rId10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7"/>
  <sheetViews>
    <sheetView showGridLines="0" showRowColHeaders="0" tabSelected="1" zoomScale="90" zoomScaleNormal="90" workbookViewId="0">
      <selection activeCell="B5" sqref="B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9.85546875" style="24" customWidth="1"/>
    <col min="2" max="2" width="12.140625" customWidth="1"/>
    <col min="12" max="12" width="6.5703125" customWidth="1"/>
  </cols>
  <sheetData>
    <row r="1" spans="1:19" s="20" customFormat="1" ht="88.5" customHeight="1" thickBot="1" x14ac:dyDescent="0.3">
      <c r="A1" s="24"/>
      <c r="B1" s="23"/>
      <c r="C1" s="21" t="s">
        <v>336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s="20" customFormat="1" ht="15" customHeight="1" thickTop="1" thickBot="1" x14ac:dyDescent="0.3">
      <c r="A2" s="25"/>
    </row>
    <row r="3" spans="1:19" ht="8.25" customHeight="1" thickTop="1" x14ac:dyDescent="0.25"/>
    <row r="4" spans="1:19" ht="7.5" customHeight="1" x14ac:dyDescent="0.25"/>
    <row r="5" spans="1:19" ht="10.5" customHeight="1" x14ac:dyDescent="0.25"/>
    <row r="6" spans="1:19" ht="17.25" customHeight="1" x14ac:dyDescent="0.25"/>
    <row r="7" spans="1:19" ht="34.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7273F36-CA7B-4667-A6BD-624FE1384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Arley Luna</cp:lastModifiedBy>
  <dcterms:created xsi:type="dcterms:W3CDTF">2024-12-19T13:13:10Z</dcterms:created>
  <dcterms:modified xsi:type="dcterms:W3CDTF">2026-04-08T02:07:07Z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